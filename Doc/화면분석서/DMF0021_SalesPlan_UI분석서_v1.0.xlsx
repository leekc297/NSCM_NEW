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LAYOUT" sheetId="2" state="visible" r:id="rId2"/>
    <sheet xmlns:r="http://schemas.openxmlformats.org/officeDocument/2006/relationships" name="3.조회조건_버튼" sheetId="3" state="visible" r:id="rId3"/>
    <sheet xmlns:r="http://schemas.openxmlformats.org/officeDocument/2006/relationships" name="4.GRID" sheetId="4" state="visible" r:id="rId4"/>
    <sheet xmlns:r="http://schemas.openxmlformats.org/officeDocument/2006/relationships" name="5.EVENT" sheetId="5" state="visible" r:id="rId5"/>
    <sheet xmlns:r="http://schemas.openxmlformats.org/officeDocument/2006/relationships" name="6.VALIDATION" sheetId="6" state="visible" r:id="rId6"/>
    <sheet xmlns:r="http://schemas.openxmlformats.org/officeDocument/2006/relationships" name="7.API_SP" sheetId="7" state="visible" r:id="rId7"/>
    <sheet xmlns:r="http://schemas.openxmlformats.org/officeDocument/2006/relationships" name="8.SQL제약_SP" sheetId="8" state="visible" r:id="rId8"/>
    <sheet xmlns:r="http://schemas.openxmlformats.org/officeDocument/2006/relationships" name="9.권한·Division·편집" sheetId="9" state="visible" r:id="rId9"/>
    <sheet xmlns:r="http://schemas.openxmlformats.org/officeDocument/2006/relationships" name="10.단위테스트" sheetId="10" state="visible" r:id="rId10"/>
    <sheet xmlns:r="http://schemas.openxmlformats.org/officeDocument/2006/relationships" name="11.데이터연결_맵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FF1F4E79"/>
      <sz val="14"/>
    </font>
    <font>
      <name val="맑은 고딕"/>
      <color rgb="FF666666"/>
      <sz val="9"/>
    </font>
    <font>
      <name val="맑은 고딕"/>
      <i val="1"/>
      <color rgb="FF1F6B1F"/>
      <sz val="9"/>
    </font>
    <font>
      <name val="맑은 고딕"/>
      <b val="1"/>
      <color rgb="FFFFFFFF"/>
      <sz val="11"/>
    </font>
    <font>
      <name val="맑은 고딕"/>
      <b val="1"/>
      <color rgb="FFFFFFFF"/>
      <sz val="10"/>
    </font>
    <font>
      <name val="맑은 고딕"/>
      <sz val="10"/>
    </font>
    <font>
      <name val="맑은 고딕"/>
      <b val="1"/>
      <color rgb="FF1F4E79"/>
      <sz val="11"/>
    </font>
    <font>
      <name val="맑은 고딕"/>
      <color rgb="FF1F6B1F"/>
      <sz val="9"/>
    </font>
    <font>
      <name val="맑은 고딕"/>
      <b val="1"/>
      <color rgb="FFB00020"/>
      <sz val="10"/>
    </font>
    <font>
      <name val="맑은 고딕"/>
      <b val="1"/>
      <color rgb="FF1F4E79"/>
      <sz val="10"/>
    </font>
  </fonts>
  <fills count="6">
    <fill>
      <patternFill/>
    </fill>
    <fill>
      <patternFill patternType="gray125"/>
    </fill>
    <fill>
      <patternFill patternType="solid">
        <fgColor rgb="FFEAF5EA"/>
      </patternFill>
    </fill>
    <fill>
      <patternFill patternType="solid">
        <fgColor rgb="FF1F4E79"/>
      </patternFill>
    </fill>
    <fill>
      <patternFill patternType="solid">
        <fgColor rgb="FF4472A8"/>
      </patternFill>
    </fill>
    <fill>
      <patternFill patternType="solid">
        <fgColor rgb="FFFDECE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5" fillId="4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9" fillId="5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15240000" cy="7639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53</row>
      <rowOff>0</rowOff>
    </from>
    <ext cx="15240000" cy="876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107</row>
      <rowOff>0</rowOff>
    </from>
    <ext cx="11430000" cy="65627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149</row>
      <rowOff>0</rowOff>
    </from>
    <ext cx="11430000" cy="65627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191</row>
      <rowOff>0</rowOff>
    </from>
    <ext cx="11430000" cy="6191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231</row>
      <rowOff>0</rowOff>
    </from>
    <ext cx="11430000" cy="5953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269</row>
      <rowOff>0</rowOff>
    </from>
    <ext cx="11430000" cy="482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1" customHeight="1">
      <c r="A1" s="1" t="inlineStr">
        <is>
          <t>1. 개요 — 화면정의 · 개정이력</t>
        </is>
      </c>
    </row>
    <row r="2">
      <c r="A2" s="2" t="inlineStr">
        <is>
          <t>DMF0021 Sales Plan · UI 분석서 v1.0 · 2026-07-09 (hook #105 11시트)</t>
        </is>
      </c>
    </row>
    <row r="3" ht="28" customHeight="1">
      <c r="A3" s="3" t="inlineStr">
        <is>
          <t>📖 읽는 법 — 화면이 무엇을 하는지·어느 메뉴에 있는지·AS-IS↔TO-BE 어디까지 됐는지. ⚠=격차. 맨 아래 개정이력.</t>
        </is>
      </c>
    </row>
    <row r="4" ht="20" customHeight="1">
      <c r="A4" s="4" t="inlineStr">
        <is>
          <t>화면 정의</t>
        </is>
      </c>
    </row>
    <row r="5">
      <c r="A5" s="5" t="inlineStr">
        <is>
          <t>항목</t>
        </is>
      </c>
      <c r="B5" s="5" t="inlineStr">
        <is>
          <t>내용</t>
        </is>
      </c>
    </row>
    <row r="6" ht="18" customHeight="1">
      <c r="A6" s="6" t="inlineStr">
        <is>
          <t>화면 ID</t>
        </is>
      </c>
      <c r="B6" s="6" t="inlineStr">
        <is>
          <t>DMF0021</t>
        </is>
      </c>
    </row>
    <row r="7" ht="18" customHeight="1">
      <c r="A7" s="6" t="inlineStr">
        <is>
          <t>화면명</t>
        </is>
      </c>
      <c r="B7" s="6" t="inlineStr">
        <is>
          <t>Sales Plan (판매계획)</t>
        </is>
      </c>
    </row>
    <row r="8" ht="18" customHeight="1">
      <c r="A8" s="6" t="inlineStr">
        <is>
          <t>도메인</t>
        </is>
      </c>
      <c r="B8" s="6" t="inlineStr">
        <is>
          <t>DM (Demand)</t>
        </is>
      </c>
    </row>
    <row r="9" ht="30" customHeight="1">
      <c r="A9" s="6" t="inlineStr">
        <is>
          <t>메뉴 경로</t>
        </is>
      </c>
      <c r="B9" s="6" t="inlineStr">
        <is>
          <t>Demand &gt; Demand Plan &gt; Sales Plan — SCM_ADM_MNU_M 등록 실측: MNU_ID=DMF0021 / UPPR=Demand_Plan / MNU_MSG_ID=MNU00034 / USE_YN=Y / SORT_ORD=32. ⚠ MNU_URL='dmf0003' 임시 배선 — 구현 시 sales-plan slug 로 교체 필요. 구 메뉴 DM0021 'Sales Plan_bk'(dm0021) 병존</t>
        </is>
      </c>
    </row>
    <row r="10" ht="30" customHeight="1">
      <c r="A10" s="6" t="inlineStr">
        <is>
          <t>화면 목적</t>
        </is>
      </c>
      <c r="B10" s="6" t="inlineStr">
        <is>
          <t>사업부(40 Mobility / 81* 소형 / 82 Power·ESS)별 판매계획(Sales Plan) 조회·편집 — 행 = 키(Division~Currency) × Measure(31종 메타), 열 = 기간 버킷(D_/W_/M_) PIVOT. 편집 대상 Measure = SalesAmt_LOC(기타매출) / Catch_Up(40 전용) / RTF_SYS_RP(권한)</t>
        </is>
      </c>
    </row>
    <row r="11" ht="60" customHeight="1">
      <c r="A11" s="6" t="inlineStr">
        <is>
          <t>AS-IS 폼 (정본)</t>
        </is>
      </c>
      <c r="B11" s="6" t="inlineStr">
        <is>
          <t>GSCM\06.UIL\GSCM.DM.Forms.UIL\Plan\DMF0021_SalesPlan\DMF0021_SalesPlan.cs (5,599행) + Designer.cs(1,451행) — 사용자 확정 정본.
변형 2벌 병존: Plan.UIL(3,631행 — Forms.UIL 이 상위집합 +2,291/-323) / Shipment.UIL(3,912행 — 별개 분기). Forms.UIL 추가분: spdMain_ClipboardPasted / ExcelButton(Simplexel) / Form_Load / GetCustomsHandbook·GetIncotermsType·GetFcstType·GetLookupValues / SetSaveData(sText). 기존 분석 MD·asis-mapping·27_DM xlsx 모두 본 정본 기준(라인번호 정합 확인)</t>
        </is>
      </c>
    </row>
    <row r="12" ht="30" customHeight="1">
      <c r="A12" s="6" t="inlineStr">
        <is>
          <t>TO-BE 경로</t>
        </is>
      </c>
      <c r="B12" s="6" t="inlineStr">
        <is>
          <t>nscm-fe\features\demand\src\pages\sales-plan (React 19 + Wijmo — 미구현·제안). ⚠ 화면설계서 v1.0 의 "FE 골격 존재" 기재는 오류 — 실측 결과 페이지 없음 (2026-07-05)</t>
        </is>
      </c>
    </row>
    <row r="13" ht="18" customHeight="1">
      <c r="A13" s="6" t="inlineStr">
        <is>
          <t>사용 Division</t>
        </is>
      </c>
      <c r="B13" s="6" t="inlineStr">
        <is>
          <t>40 (Mobility) / 81,81_UC,81_HM,81_ST,81_HD,81_HG (소형) / 82 (Power·ESS) — SHEET_COLUMNS DIVISION_ID 토큰 실측. 사업부 하드코딩 분기 33곳 (Division 열 참조)</t>
        </is>
      </c>
    </row>
    <row r="14" ht="18" customHeight="1">
      <c r="A14" s="6" t="inlineStr">
        <is>
          <t>버킷</t>
        </is>
      </c>
      <c r="B14" s="6" t="inlineStr">
        <is>
          <t>D(Daily)/W(Weekly)/M(Monthly) — PKG_DMF0003.P_DMF0003_GET_BUCKET_TYPE_CODE. 기본값 Monthly. Daily 는 조회 전용 (편집 진입 MSG00361 차단, D_ 셀 항상 잠금)</t>
        </is>
      </c>
    </row>
    <row r="15" ht="30" customHeight="1">
      <c r="A15" s="6" t="inlineStr">
        <is>
          <t>주요 SP</t>
        </is>
      </c>
      <c r="B15" s="6" t="inlineStr">
        <is>
          <t>DMF0021_GET_DM_PLN_SALES_PLAN_DATAEx (조회 18 param, 결과 3 테이블: 데이터/기준일/편집권한) / DMF0021_SAVE_DM_PLN_SALES_PLAN_ALL (저장 '^' bulk 18 param) / DMF0021_GET_SPREAD_TITLE (동적 3단 헤더 5 param) / DMF0021_GET_SALES_PLAN_MEASUREINFO (Insert Measure 콤보)</t>
        </is>
      </c>
    </row>
    <row r="16" ht="18" customHeight="1">
      <c r="A16" s="6" t="inlineStr">
        <is>
          <t>편집 권한</t>
        </is>
      </c>
      <c r="B16" s="6" t="inlineStr">
        <is>
          <t>조회 SP Tables[2] EDIT_AUTH_SalesAmt_LOC / EDIT_AUTH_RTF_SYS_RP (그룹별) + 행 SALES_PLAN_ADJUST_YN='N_Y' 만 편집 해제. Insert 는 EDIT_AUTH_SalesAmt_LOC 필수</t>
        </is>
      </c>
    </row>
    <row r="17" ht="30" customHeight="1">
      <c r="A17" s="6" t="inlineStr">
        <is>
          <t>제외/잔재 (AS-IS)</t>
        </is>
      </c>
      <c r="B17" s="6" t="inlineStr">
        <is>
          <t>cboCellQty(완전 dead) / InternalYN(숨김 — 항상 N, Figma 캡쳐엔 노출 → TO-BE 정책 확정 필요) / cboKRW·USD·LOC 핸들러(dead) / fnValidation 중복체크(SP 이관, 호출부 주석) / DEPT_ID cascade(전체 주석) / SCM0001_GET_* 6종(BigFilter 대체 사장) / DATAEx2·SPREAD_TITLE2(구문서에만 존재, 현 소스 0건)</t>
        </is>
      </c>
    </row>
    <row r="19" ht="20" customHeight="1">
      <c r="A19" s="4" t="inlineStr">
        <is>
          <t>개정 이력</t>
        </is>
      </c>
    </row>
    <row r="20">
      <c r="A20" s="5" t="inlineStr">
        <is>
          <t>버전 / 일자</t>
        </is>
      </c>
      <c r="B20" s="5" t="inlineStr">
        <is>
          <t>내용</t>
        </is>
      </c>
    </row>
    <row r="21" ht="30" customHeight="1">
      <c r="A21" s="6" t="inlineStr">
        <is>
          <t>v1.0 / 2026-07-05</t>
        </is>
      </c>
      <c r="B21" s="6" t="inlineStr">
        <is>
          <t>최초 작성 — AS-IS Forms.UIL 정본(5,599행) 전수 재검토(4축: 컨트롤·이벤트 30배선 / Validation 활성 58 / Expression 활성 274 / SP·팝업 전수) + 기존 문서 4종 cross-check + 사내 DB 실측(SHEET_COLUMNS 66 / MEASURE 31 / API_M·PROC_M·BTN_MPG 0건 / SP 5종+PKG / CMBO 22종 / MSG 16종)</t>
        </is>
      </c>
    </row>
  </sheetData>
  <mergeCells count="3">
    <mergeCell ref="A4:B4"/>
    <mergeCell ref="A3:B3"/>
    <mergeCell ref="A19:B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1" customHeight="1">
      <c r="A1" s="1" t="inlineStr">
        <is>
          <t>2. LAYOUT — 메인 + 사용 팝업 전체</t>
        </is>
      </c>
    </row>
    <row r="2">
      <c r="A2" s="2" t="inlineStr">
        <is>
          <t>DMF0021 Sales Plan · UI 분석서 v1.0 · 2026-07-09 (hook #105 11시트)</t>
        </is>
      </c>
    </row>
    <row r="3" ht="28" customHeight="1">
      <c r="A3" s="3" t="inlineStr">
        <is>
          <t>📖 읽는 법 — 실제 화면 그림. ①=메인 조회화면, ②~=팝업/공용 검색 모달.</t>
        </is>
      </c>
    </row>
    <row r="4">
      <c r="A4" s="7" t="inlineStr">
        <is>
          <t>① 메인 화면 (TO-BE Figma 캡쳐)</t>
        </is>
      </c>
    </row>
    <row r="5">
      <c r="A5" s="2" t="inlineStr">
        <is>
          <t>진입: Demand &gt; Demand Plan &gt; Sales Plan — 조회조건(Div./Team/End Customer/Sales Site/Period/Bucket/Sum/Color/Include Internal Txn/Item Type/Biz Type/PJT/Model·Nickname/Plant Site/Owner) + Measure×기간 PIVOT 그리드 (Figma node 6037:139729)</t>
        </is>
      </c>
    </row>
    <row r="52">
      <c r="A52" s="7" t="inlineStr">
        <is>
          <t>② AS-IS 화면 구성 (Designer.cs 정밀 목업 — 참고)</t>
        </is>
      </c>
    </row>
    <row r="53">
      <c r="A53" s="2" t="inlineStr">
        <is>
          <t>진입: AS-IS GSCM WinForms — 조회조건 3행(y=12/37/66) + FarPoint Spread 3단 헤더. 컨트롤 21종 (콤보2·체크리스트6·텍스트3·버튼5·체크박스4·기간1)</t>
        </is>
      </c>
    </row>
    <row r="106">
      <c r="A106" s="7" t="inlineStr">
        <is>
          <t>③ Project 검색 (공용 ProjectByDivisionModal)</t>
        </is>
      </c>
    </row>
    <row r="107">
      <c r="A107" s="2" t="inlineStr">
        <is>
          <t>진입: 조회조건 PJT 아이콘/Enter (81*·82 만 — div40 비활성) + 그리드 PROJECT_CODE 셀 더블클릭(신규 I행) — AS-IS SCM0002_ProjectbyDivisionPopupEx. OK 시 PROJECT_CODE/NAME/STATUS/BIZ_TYPE_NAME/PROJECT_OWNER 자동세팅 + ITEM_ID·ITEM_CLASS_NAME 클리어</t>
        </is>
      </c>
    </row>
    <row r="148">
      <c r="A148" s="7" t="inlineStr">
        <is>
          <t>④ Model 검색 (공용 ItemByDivisionModal)</t>
        </is>
      </c>
    </row>
    <row r="149">
      <c r="A149" s="2" t="inlineStr">
        <is>
          <t>진입: 조회조건 Model 아이콘/Enter + 40+Catch_Up ITEM_ID 셀 더블클릭 — AS-IS DM0002_ItembyDivisionPopupEx (sMdmActive_Sw=Y). OK 시 ITEM_ID/ITEM_TYPE/NICK_NAME 자동세팅</t>
        </is>
      </c>
    </row>
    <row r="190">
      <c r="A190" s="7" t="inlineStr">
        <is>
          <t>⑤ Owner 검색 (공용 OwnerByDivisionModal)</t>
        </is>
      </c>
    </row>
    <row r="191">
      <c r="A191" s="2" t="inlineStr">
        <is>
          <t>진입: 조회조건 Owner 아이콘 — AS-IS DM0020_OwnerbyDivisionPopup. OK 시 txtOwner 반영</t>
        </is>
      </c>
    </row>
    <row r="230">
      <c r="A230" s="7" t="inlineStr">
        <is>
          <t>⑥ Column Setting (공용 ColumnSettingModal)</t>
        </is>
      </c>
    </row>
    <row r="231">
      <c r="A231" s="2" t="inlineStr">
        <is>
          <t>진입: 공통버튼 Column Setup — AS-IS DM0002_TitleSetForm_Popup(DMF0021, 'Sales Plan', Column=true, division). OK 시 InitSpread 헤더 재구성. 메타 = SCM_MST_SHEET_COLUMNS 66건</t>
        </is>
      </c>
    </row>
    <row r="268">
      <c r="A268" s="7" t="inlineStr">
        <is>
          <t>⑦ Measure Select (MeasureSelectModal)</t>
        </is>
      </c>
    </row>
    <row r="269">
      <c r="A269" s="2" t="inlineStr">
        <is>
          <t>진입: 공통버튼 Measure Select — AS-IS DM0002_TitleSetForm_Popup(Measure=false). 메타 = SCM_MST_SHEET_MEASURE 31건</t>
        </is>
      </c>
    </row>
    <row r="300">
      <c r="A300" s="2" t="inlineStr">
        <is>
          <t>※ ①=Figma 디자인 캡쳐(CAP_SVG\DMF0021.png — 2026-07 확보분. SVG 동일 폴더), ②=AS-IS Designer 분석 목업(참고).</t>
        </is>
      </c>
    </row>
    <row r="301">
      <c r="A301" s="2" t="inlineStr">
        <is>
          <t>※ ③~⑦ 이미지는 DMF0003 UI분석서 v1.2 의 동일 공용 모달 와이어프레임 재사용 — DMF0021 도 같은 공용 모달 사용. 실구현 캡쳐 확보 시 교체 가능.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3" customWidth="1" min="3" max="3"/>
    <col width="6" customWidth="1" min="4" max="4"/>
    <col width="48" customWidth="1" min="5" max="5"/>
    <col width="10" customWidth="1" min="6" max="6"/>
    <col width="26" customWidth="1" min="7" max="7"/>
    <col width="22" customWidth="1" min="8" max="8"/>
  </cols>
  <sheetData>
    <row r="1" ht="21" customHeight="1">
      <c r="A1" s="1" t="inlineStr">
        <is>
          <t>3. 조회조건 · 체크박스 · 버튼</t>
        </is>
      </c>
    </row>
    <row r="2">
      <c r="A2" s="2" t="inlineStr">
        <is>
          <t>DMF0021 Sales Plan · UI 분석서 v1.0 · 2026-07-09 (hook #105 11시트)</t>
        </is>
      </c>
    </row>
    <row r="3" ht="28" customHeight="1">
      <c r="A3" s="3" t="inlineStr">
        <is>
          <t>📖 읽는 법 — 조회조건(무엇으로 거르나)·버튼(무엇을 하나). "데이터 원천"=값 출처. ⚠ BTN_MPG 미등록(레거시).</t>
        </is>
      </c>
    </row>
    <row r="4" ht="20" customHeight="1">
      <c r="A4" s="4" t="inlineStr">
        <is>
          <t>조회조건 (데이터 원천 = AS-IS BigFilter/SP 실명칭 + TO-BE CMBO 등록명. CMBO = SCM_ADM_CMBO_SQL_M 실측)</t>
        </is>
      </c>
    </row>
    <row r="5">
      <c r="A5" s="5" t="inlineStr">
        <is>
          <t>No</t>
        </is>
      </c>
      <c r="B5" s="5" t="inlineStr">
        <is>
          <t>항목</t>
        </is>
      </c>
      <c r="C5" s="5" t="inlineStr">
        <is>
          <t>유형</t>
        </is>
      </c>
      <c r="D5" s="5" t="inlineStr">
        <is>
          <t>필수</t>
        </is>
      </c>
      <c r="E5" s="5" t="inlineStr">
        <is>
          <t>데이터 원천 (실명칭)</t>
        </is>
      </c>
      <c r="F5" s="5" t="inlineStr">
        <is>
          <t>원천 구분</t>
        </is>
      </c>
      <c r="G5" s="5" t="inlineStr">
        <is>
          <t>Division 분기</t>
        </is>
      </c>
      <c r="H5" s="5" t="inlineStr">
        <is>
          <t>AS-IS 컨트롤</t>
        </is>
      </c>
    </row>
    <row r="6" ht="30" customHeight="1">
      <c r="A6" s="6" t="n">
        <v>1</v>
      </c>
      <c r="B6" s="6" t="inlineStr">
        <is>
          <t>Division</t>
        </is>
      </c>
      <c r="C6" s="6" t="inlineStr">
        <is>
          <t>콤보(단일)</t>
        </is>
      </c>
      <c r="D6" s="6" t="inlineStr">
        <is>
          <t>●</t>
        </is>
      </c>
      <c r="E6" s="6" t="inlineStr">
        <is>
          <t>AS-IS BigFilter 'MyDivision'(@GROUP_ID/@USER_ID — 권한 사업부만) → TO-BE CMBO 'MyDivision' (등록 확인)</t>
        </is>
      </c>
      <c r="F6" s="6" t="inlineStr">
        <is>
          <t>CMBO</t>
        </is>
      </c>
      <c r="G6" s="6" t="inlineStr">
        <is>
          <t>-</t>
        </is>
      </c>
      <c r="H6" s="6" t="inlineStr">
        <is>
          <t>clbDivision (UsrCombo — SelectedIndexChanged 코드배선 L554)</t>
        </is>
      </c>
    </row>
    <row r="7" ht="18" customHeight="1">
      <c r="A7" s="6" t="n">
        <v>2</v>
      </c>
      <c r="B7" s="6" t="inlineStr">
        <is>
          <t>Team</t>
        </is>
      </c>
      <c r="C7" s="6" t="inlineStr">
        <is>
          <t>콤보+ALL</t>
        </is>
      </c>
      <c r="D7" s="6" t="inlineStr"/>
      <c r="E7" s="6" t="inlineStr">
        <is>
          <t>BigFilter 'UserTeamByDivision'(DIVISION_ID) → CMBO 'TeambyDivision' 계열</t>
        </is>
      </c>
      <c r="F7" s="6" t="inlineStr">
        <is>
          <t>CMBO</t>
        </is>
      </c>
      <c r="G7" s="6" t="inlineStr">
        <is>
          <t>-</t>
        </is>
      </c>
      <c r="H7" s="6" t="inlineStr">
        <is>
          <t>clbTeam (UsrCheckedList, One)</t>
        </is>
      </c>
    </row>
    <row r="8" ht="30" customHeight="1">
      <c r="A8" s="6" t="n">
        <v>3</v>
      </c>
      <c r="B8" s="6" t="inlineStr">
        <is>
          <t>End Customer</t>
        </is>
      </c>
      <c r="C8" s="6" t="inlineStr">
        <is>
          <t>콤보+ALL</t>
        </is>
      </c>
      <c r="D8" s="6" t="inlineStr"/>
      <c r="E8" s="6" t="inlineStr">
        <is>
          <t>BigFilter 'EndCustomerByDivision'(DIVISION_ID, DEPT_ID) → CMBO 'EndCustomer'/'EndCustomerByDivisionDept'</t>
        </is>
      </c>
      <c r="F8" s="6" t="inlineStr">
        <is>
          <t>CMBO</t>
        </is>
      </c>
      <c r="G8" s="6" t="inlineStr">
        <is>
          <t>-</t>
        </is>
      </c>
      <c r="H8" s="6" t="inlineStr">
        <is>
          <t>clbCustomer</t>
        </is>
      </c>
    </row>
    <row r="9" ht="30" customHeight="1">
      <c r="A9" s="6" t="n">
        <v>4</v>
      </c>
      <c r="B9" s="6" t="inlineStr">
        <is>
          <t>Sales Site</t>
        </is>
      </c>
      <c r="C9" s="6" t="inlineStr">
        <is>
          <t>콤보+ALL</t>
        </is>
      </c>
      <c r="D9" s="6" t="inlineStr"/>
      <c r="E9" s="6" t="inlineStr">
        <is>
          <t>BigFilter 'UserSiteByEndCustomer'(DIVISION, DEPT, END_CUSTOMER) → CMBO 'SiteByEndCustomer_InnerCode' (SHEET_COLUMNS 참조명 실측)</t>
        </is>
      </c>
      <c r="F9" s="6" t="inlineStr">
        <is>
          <t>CMBO</t>
        </is>
      </c>
      <c r="G9" s="6" t="inlineStr">
        <is>
          <t>-</t>
        </is>
      </c>
      <c r="H9" s="6" t="inlineStr">
        <is>
          <t>clbSalesSite</t>
        </is>
      </c>
    </row>
    <row r="10" ht="30" customHeight="1">
      <c r="A10" s="6" t="n">
        <v>5</v>
      </c>
      <c r="B10" s="6" t="inlineStr">
        <is>
          <t>Plant Site</t>
        </is>
      </c>
      <c r="C10" s="6" t="inlineStr">
        <is>
          <t>콤보+ALL</t>
        </is>
      </c>
      <c r="D10" s="6" t="inlineStr"/>
      <c r="E10" s="6" t="inlineStr">
        <is>
          <t>BigFilter 'UserPlantSiteByEndCustomer' (Division 변경 시 'UserPlantSiteByDivision')</t>
        </is>
      </c>
      <c r="F10" s="6" t="inlineStr">
        <is>
          <t>CMBO</t>
        </is>
      </c>
      <c r="G10" s="6" t="inlineStr">
        <is>
          <t>div40 비활성+클리어 (InitControls L455~460)</t>
        </is>
      </c>
      <c r="H10" s="6" t="inlineStr">
        <is>
          <t>clbPlantSite</t>
        </is>
      </c>
    </row>
    <row r="11" ht="30" customHeight="1">
      <c r="A11" s="6" t="n">
        <v>6</v>
      </c>
      <c r="B11" s="6" t="inlineStr">
        <is>
          <t>Biz Type</t>
        </is>
      </c>
      <c r="C11" s="6" t="inlineStr">
        <is>
          <t>콤보+ALL</t>
        </is>
      </c>
      <c r="D11" s="6" t="inlineStr"/>
      <c r="E11" s="6" t="inlineStr">
        <is>
          <t>BigFilter 'BizType'(DIVISION_ID) → CMBO 'BizTypeByDivision'(81·82) / 'DmBizType'(40)</t>
        </is>
      </c>
      <c r="F11" s="6" t="inlineStr">
        <is>
          <t>CMBO</t>
        </is>
      </c>
      <c r="G11" s="6" t="inlineStr">
        <is>
          <t>-</t>
        </is>
      </c>
      <c r="H11" s="6" t="inlineStr">
        <is>
          <t>clbBizType</t>
        </is>
      </c>
    </row>
    <row r="12" ht="18" customHeight="1">
      <c r="A12" s="6" t="n">
        <v>7</v>
      </c>
      <c r="B12" s="6" t="inlineStr">
        <is>
          <t>Item Type</t>
        </is>
      </c>
      <c r="C12" s="6" t="inlineStr">
        <is>
          <t>콤보+ALL</t>
        </is>
      </c>
      <c r="D12" s="6" t="inlineStr"/>
      <c r="E12" s="6" t="inlineStr">
        <is>
          <t>SCM.SCM0001_GET_LOOKUP_VALUES('ITEM_TYPE_CODE') → CMBO 'ItemType'</t>
        </is>
      </c>
      <c r="F12" s="6" t="inlineStr">
        <is>
          <t>CMBO</t>
        </is>
      </c>
      <c r="G12" s="6" t="inlineStr">
        <is>
          <t>-</t>
        </is>
      </c>
      <c r="H12" s="6" t="inlineStr">
        <is>
          <t>clbItemType</t>
        </is>
      </c>
    </row>
    <row r="13" ht="30" customHeight="1">
      <c r="A13" s="6" t="n">
        <v>8</v>
      </c>
      <c r="B13" s="6" t="inlineStr">
        <is>
          <t>PJT (Project)</t>
        </is>
      </c>
      <c r="C13" s="6" t="inlineStr">
        <is>
          <t>텍스트+MODAL</t>
        </is>
      </c>
      <c r="D13" s="6" t="inlineStr"/>
      <c r="E13" s="6" t="inlineStr">
        <is>
          <t>공용 ProjectByDivisionModal (@master/searchFields) — AS-IS SCM0002_ProjectbyDivisionPopupEx. Enter 키 지원</t>
        </is>
      </c>
      <c r="F13" s="6" t="inlineStr">
        <is>
          <t>MODAL</t>
        </is>
      </c>
      <c r="G13" s="6" t="inlineStr">
        <is>
          <t>div40 비활성 (81*/82 만 팝업 L3491)</t>
        </is>
      </c>
      <c r="H13" s="6" t="inlineStr">
        <is>
          <t>txtProject + btnProject (KeyDown 코드배선)</t>
        </is>
      </c>
    </row>
    <row r="14" ht="30" customHeight="1">
      <c r="A14" s="6" t="n">
        <v>9</v>
      </c>
      <c r="B14" s="6" t="inlineStr">
        <is>
          <t>Model / Nickname</t>
        </is>
      </c>
      <c r="C14" s="6" t="inlineStr">
        <is>
          <t>텍스트+MODAL</t>
        </is>
      </c>
      <c r="D14" s="6" t="inlineStr"/>
      <c r="E14" s="6" t="inlineStr">
        <is>
          <t>공용 ItemByDivisionModal (ItemField) — AS-IS DM0002_ItembyDivisionPopupEx. Enter 키 지원</t>
        </is>
      </c>
      <c r="F14" s="6" t="inlineStr">
        <is>
          <t>MODAL</t>
        </is>
      </c>
      <c r="G14" s="6" t="inlineStr">
        <is>
          <t>-</t>
        </is>
      </c>
      <c r="H14" s="6" t="inlineStr">
        <is>
          <t>txtItemId + btnItemId</t>
        </is>
      </c>
    </row>
    <row r="15" ht="18" customHeight="1">
      <c r="A15" s="6" t="n">
        <v>10</v>
      </c>
      <c r="B15" s="6" t="inlineStr">
        <is>
          <t>Owner</t>
        </is>
      </c>
      <c r="C15" s="6" t="inlineStr">
        <is>
          <t>텍스트+MODAL</t>
        </is>
      </c>
      <c r="D15" s="6" t="inlineStr"/>
      <c r="E15" s="6" t="inlineStr">
        <is>
          <t>공용 OwnerByDivisionModal (OwnerField) — AS-IS DM0020_OwnerbyDivisionPopup</t>
        </is>
      </c>
      <c r="F15" s="6" t="inlineStr">
        <is>
          <t>MODAL</t>
        </is>
      </c>
      <c r="G15" s="6" t="inlineStr">
        <is>
          <t>-</t>
        </is>
      </c>
      <c r="H15" s="6" t="inlineStr">
        <is>
          <t>txtOwner + btnOwner</t>
        </is>
      </c>
    </row>
    <row r="16" ht="30" customHeight="1">
      <c r="A16" s="6" t="n">
        <v>11</v>
      </c>
      <c r="B16" s="6" t="inlineStr">
        <is>
          <t>Bucket</t>
        </is>
      </c>
      <c r="C16" s="6" t="inlineStr">
        <is>
          <t>콤보(단일)</t>
        </is>
      </c>
      <c r="D16" s="6" t="inlineStr">
        <is>
          <t>●</t>
        </is>
      </c>
      <c r="E16" s="6" t="inlineStr">
        <is>
          <t>SP PKG_DMF0003.P_DMF0003_GET_BUCKET_TYPE_CODE (DAILY/WEEKLY/MONTHLY) — CMBO 'BucketType' 등록 존재. 기본값 Monthly (L543)</t>
        </is>
      </c>
      <c r="F16" s="6" t="inlineStr">
        <is>
          <t>고정(SP)</t>
        </is>
      </c>
      <c r="G16" s="6" t="inlineStr">
        <is>
          <t>-</t>
        </is>
      </c>
      <c r="H16" s="6" t="inlineStr">
        <is>
          <t>cboBucketType (+Click 가드 MSG00227)</t>
        </is>
      </c>
    </row>
    <row r="17" ht="30" customHeight="1">
      <c r="A17" s="6" t="n">
        <v>12</v>
      </c>
      <c r="B17" s="6" t="inlineStr">
        <is>
          <t>Period</t>
        </is>
      </c>
      <c r="C17" s="6" t="inlineStr">
        <is>
          <t>날짜범위</t>
        </is>
      </c>
      <c r="D17" s="6" t="inlineStr">
        <is>
          <t>●</t>
        </is>
      </c>
      <c r="E17" s="6" t="inlineStr">
        <is>
          <t>DM.PR_GET_DAY_RANGE(p_month=6) — 기본 당월 1일 ~ +6개월 말일. 역전 MSG00108 / 3년 초과 MSG00164(자동 보정)</t>
        </is>
      </c>
      <c r="F17" s="6" t="inlineStr">
        <is>
          <t>고정</t>
        </is>
      </c>
      <c r="G17" s="6" t="inlineStr">
        <is>
          <t>-</t>
        </is>
      </c>
      <c r="H17" s="6" t="inlineStr">
        <is>
          <t>drpPeriod (UsrDateRangePicker)</t>
        </is>
      </c>
    </row>
    <row r="19" ht="20" customHeight="1">
      <c r="A19" s="4" t="inlineStr">
        <is>
          <t>체크박스 — 선택 시 실제 효과 (AS-IS 소스 실측)</t>
        </is>
      </c>
    </row>
    <row r="20">
      <c r="A20" s="5" t="inlineStr">
        <is>
          <t>No</t>
        </is>
      </c>
      <c r="B20" s="5" t="inlineStr">
        <is>
          <t>항목</t>
        </is>
      </c>
      <c r="C20" s="5" t="inlineStr">
        <is>
          <t>SP 파라미터</t>
        </is>
      </c>
      <c r="D20" s="5" t="inlineStr"/>
      <c r="E20" s="5" t="inlineStr">
        <is>
          <t>선택 시 실제 효과 (실측)</t>
        </is>
      </c>
      <c r="F20" s="5" t="inlineStr">
        <is>
          <t>즉시/조회</t>
        </is>
      </c>
      <c r="G20" s="5" t="inlineStr">
        <is>
          <t>Division 분기</t>
        </is>
      </c>
      <c r="H20" s="5" t="inlineStr">
        <is>
          <t>AS-IS 컨트롤</t>
        </is>
      </c>
    </row>
    <row r="21" ht="30" customHeight="1">
      <c r="A21" s="6" t="n">
        <v>1</v>
      </c>
      <c r="B21" s="6" t="inlineStr">
        <is>
          <t>Sum</t>
        </is>
      </c>
      <c r="C21" s="6" t="inlineStr">
        <is>
          <t>(없음 — FE 전용)</t>
        </is>
      </c>
      <c r="D21" s="6" t="inlineStr"/>
      <c r="E21" s="6" t="inlineStr">
        <is>
          <t>Daily 버킷 → M_·W_(상위 합계) 표시 토글 / Weekly → M_ 표시 토글. Monthly 는 무영향. SP 재호출 없음 (SetSpreadColumn L3598~3621)</t>
        </is>
      </c>
      <c r="F21" s="6" t="inlineStr">
        <is>
          <t>즉시</t>
        </is>
      </c>
      <c r="G21" s="6" t="inlineStr">
        <is>
          <t>-</t>
        </is>
      </c>
      <c r="H21" s="6" t="inlineStr">
        <is>
          <t>chkSum</t>
        </is>
      </c>
    </row>
    <row r="22" ht="45" customHeight="1">
      <c r="A22" s="6" t="n">
        <v>2</v>
      </c>
      <c r="B22" s="6" t="inlineStr">
        <is>
          <t>Color</t>
        </is>
      </c>
      <c r="C22" s="6" t="inlineStr">
        <is>
          <t>(없음 — FE 전용)</t>
        </is>
      </c>
      <c r="D22" s="6" t="inlineStr"/>
      <c r="E22" s="6" t="inlineStr">
        <is>
          <t>ON: 과거(전주 이하) 배경 Gainsboro + 당월 White / OFF(기본): 당주 컬럼 Green Bevel 보더 + 당월·당주 헤더 Green Bold ([C20211122-000414] 속도 옵션)</t>
        </is>
      </c>
      <c r="F22" s="6" t="inlineStr">
        <is>
          <t>즉시</t>
        </is>
      </c>
      <c r="G22" s="6" t="inlineStr">
        <is>
          <t>-</t>
        </is>
      </c>
      <c r="H22" s="6" t="inlineStr">
        <is>
          <t>chkColor</t>
        </is>
      </c>
    </row>
    <row r="23" ht="30" customHeight="1">
      <c r="A23" s="6" t="n">
        <v>3</v>
      </c>
      <c r="B23" s="6" t="inlineStr">
        <is>
          <t>Include Internal Txn</t>
        </is>
      </c>
      <c r="C23" s="6" t="inlineStr">
        <is>
          <t>p_internal_yn</t>
        </is>
      </c>
      <c r="D23" s="6" t="inlineStr"/>
      <c r="E23" s="6" t="inlineStr">
        <is>
          <t>AS-IS Visible=false → 항상 'N' 전달. ⚠ Figma 캡쳐에는 노출되어 있음 — TO-BE 노출 여부 확정 필요 (노출 시 조회 파라미터 활성화)</t>
        </is>
      </c>
      <c r="F23" s="6" t="inlineStr">
        <is>
          <t>조회</t>
        </is>
      </c>
      <c r="G23" s="6" t="inlineStr">
        <is>
          <t>INTERNAL_YN 컬럼은 40 전용</t>
        </is>
      </c>
      <c r="H23" s="6" t="inlineStr">
        <is>
          <t>InternalYN (숨김)</t>
        </is>
      </c>
    </row>
    <row r="24" ht="18" customHeight="1">
      <c r="A24" s="6" t="n">
        <v>4</v>
      </c>
      <c r="B24" s="6" t="inlineStr">
        <is>
          <t>Cell Qty</t>
        </is>
      </c>
      <c r="C24" s="6" t="inlineStr">
        <is>
          <t>(없음)</t>
        </is>
      </c>
      <c r="D24" s="6" t="inlineStr"/>
      <c r="E24" s="6" t="inlineStr">
        <is>
          <t>완전 dead — Visible=false + 코드 참조 0건. TO-BE 제외</t>
        </is>
      </c>
      <c r="F24" s="6" t="inlineStr">
        <is>
          <t>-</t>
        </is>
      </c>
      <c r="G24" s="6" t="inlineStr">
        <is>
          <t>-</t>
        </is>
      </c>
      <c r="H24" s="6" t="inlineStr">
        <is>
          <t>cboCellQty (숨김)</t>
        </is>
      </c>
    </row>
    <row r="26" ht="20" customHeight="1">
      <c r="A26" s="4" t="inlineStr">
        <is>
          <t>버튼 — MNU_BTN_MPG_M 실측 0건 (⚠ 미등록 — 구현 시 등록 필요 목록) + AS-IS 대응</t>
        </is>
      </c>
    </row>
    <row r="27">
      <c r="A27" s="5" t="inlineStr">
        <is>
          <t>No</t>
        </is>
      </c>
      <c r="B27" s="5" t="inlineStr">
        <is>
          <t>버튼(MNU_BTN_CD)</t>
        </is>
      </c>
      <c r="C27" s="5" t="inlineStr">
        <is>
          <t>위치</t>
        </is>
      </c>
      <c r="D27" s="5" t="inlineStr"/>
      <c r="E27" s="5" t="inlineStr">
        <is>
          <t>기능</t>
        </is>
      </c>
      <c r="F27" s="5" t="inlineStr"/>
      <c r="G27" s="5" t="inlineStr">
        <is>
          <t>연결 PKG / SP</t>
        </is>
      </c>
      <c r="H27" s="5" t="inlineStr">
        <is>
          <t>AS-IS 대응</t>
        </is>
      </c>
    </row>
    <row r="28" ht="30" customHeight="1">
      <c r="A28" s="6" t="n">
        <v>1</v>
      </c>
      <c r="B28" s="6" t="inlineStr">
        <is>
          <t>SEARCH</t>
        </is>
      </c>
      <c r="C28" s="6" t="inlineStr">
        <is>
          <t>공통(F5)</t>
        </is>
      </c>
      <c r="D28" s="6" t="inlineStr"/>
      <c r="E28" s="6" t="inlineStr">
        <is>
          <t>조회 — blnWork 가드(MSG00137)/기간(MSG00108·00164)/Division(MSG00097) 검증 후 메인 그리드 로드 (async, 30분 타임아웃)</t>
        </is>
      </c>
      <c r="F28" s="6" t="inlineStr"/>
      <c r="G28" s="6" t="inlineStr">
        <is>
          <t>PKG_DMF0021.P_DMF0021_GET_DM_PLN_SALES_PLAN_DATAEX (18 param)</t>
        </is>
      </c>
      <c r="H28" s="6" t="inlineStr">
        <is>
          <t>FindButton → FindData</t>
        </is>
      </c>
    </row>
    <row r="29" ht="30" customHeight="1">
      <c r="A29" s="6" t="n">
        <v>2</v>
      </c>
      <c r="B29" s="6" t="inlineStr">
        <is>
          <t>INSERT</t>
        </is>
      </c>
      <c r="C29" s="6" t="inlineStr">
        <is>
          <t>공통(F8)</t>
        </is>
      </c>
      <c r="D29" s="6" t="inlineStr"/>
      <c r="E29" s="6" t="inlineStr">
        <is>
          <t>행 추가 — EDIT_AUTH_SalesAmt_LOC 권한 필수(무권한 무동작), 편집모드만. 기본값 MEASURE=SalesAmt_LOC / FCST_TYPE=ETC, 참조컬럼 58종 잠금</t>
        </is>
      </c>
      <c r="F29" s="6" t="inlineStr"/>
      <c r="G29" s="6" t="inlineStr">
        <is>
          <t>(FE — Measure 콤보 = GET_SALES_PLAN_MEASUREINFO)</t>
        </is>
      </c>
      <c r="H29" s="6" t="inlineStr">
        <is>
          <t>InsertButton → InsertRow</t>
        </is>
      </c>
    </row>
    <row r="30" ht="30" customHeight="1">
      <c r="A30" s="6" t="n">
        <v>3</v>
      </c>
      <c r="B30" s="6" t="inlineStr">
        <is>
          <t>DELETE</t>
        </is>
      </c>
      <c r="C30" s="6" t="inlineStr">
        <is>
          <t>공통(F9)</t>
        </is>
      </c>
      <c r="D30" s="6" t="inlineStr"/>
      <c r="E30" s="6" t="inlineStr">
        <is>
          <t>신규(I) 행만 화면 삭제 (DB 삭제 아님 — 수량 0 저장 = 셀 단위 D 전환)</t>
        </is>
      </c>
      <c r="F30" s="6" t="inlineStr"/>
      <c r="G30" s="6" t="inlineStr">
        <is>
          <t>(FE)</t>
        </is>
      </c>
      <c r="H30" s="6" t="inlineStr">
        <is>
          <t>DeleteButton</t>
        </is>
      </c>
    </row>
    <row r="31" ht="30" customHeight="1">
      <c r="A31" s="6" t="n">
        <v>4</v>
      </c>
      <c r="B31" s="6" t="inlineStr">
        <is>
          <t>SAVE</t>
        </is>
      </c>
      <c r="C31" s="6" t="inlineStr">
        <is>
          <t>공통(F7)</t>
        </is>
      </c>
      <c r="D31" s="6" t="inlineStr"/>
      <c r="E31" s="6" t="inlineStr">
        <is>
          <t>저장 — 필수값(MSG00113/00002) 통과분, 변경(Red) 셀만 '^' bulk 18 param. 성공 MSG00004+재조회(셀 위치 복원)/오류 코드^메시지 alert</t>
        </is>
      </c>
      <c r="F31" s="6" t="inlineStr"/>
      <c r="G31" s="6" t="inlineStr">
        <is>
          <t>PKG_DMF0021.P_DMF0021_SAVE_DM_PLN_SALES_PLAN_ALL (18 param)</t>
        </is>
      </c>
      <c r="H31" s="6" t="inlineStr">
        <is>
          <t>SaveButton → SaveData</t>
        </is>
      </c>
    </row>
    <row r="32" ht="30" customHeight="1">
      <c r="A32" s="6" t="n">
        <v>5</v>
      </c>
      <c r="B32" s="6" t="inlineStr">
        <is>
          <t>EXCEL</t>
        </is>
      </c>
      <c r="C32" s="6" t="inlineStr">
        <is>
          <t>공통</t>
        </is>
      </c>
      <c r="D32" s="6" t="inlineStr"/>
      <c r="E32" s="6" t="inlineStr">
        <is>
          <t>그리드 Excel 다운로드 — 숨김열 제외, 82 소수표기 대응 포맷</t>
        </is>
      </c>
      <c r="F32" s="6" t="inlineStr"/>
      <c r="G32" s="6" t="inlineStr">
        <is>
          <t>(FE export)</t>
        </is>
      </c>
      <c r="H32" s="6" t="inlineStr">
        <is>
          <t>ExcelButton (SimplexelService.ExportFpSpread)</t>
        </is>
      </c>
    </row>
    <row r="33" ht="30" customHeight="1">
      <c r="A33" s="6" t="n">
        <v>6</v>
      </c>
      <c r="B33" s="6" t="inlineStr">
        <is>
          <t>FILTER / SORT</t>
        </is>
      </c>
      <c r="C33" s="6" t="inlineStr">
        <is>
          <t>공통(F4/F3)</t>
        </is>
      </c>
      <c r="D33" s="6" t="inlineStr"/>
      <c r="E33" s="6" t="inlineStr">
        <is>
          <t>그리드 필터/정렬 (공통 기능 — AS-IS 는 SP SORT_ORDER_NO 정렬 고정)</t>
        </is>
      </c>
      <c r="F33" s="6" t="inlineStr"/>
      <c r="G33" s="6" t="inlineStr">
        <is>
          <t>(FE)</t>
        </is>
      </c>
      <c r="H33" s="6" t="inlineStr">
        <is>
          <t>-</t>
        </is>
      </c>
    </row>
    <row r="34" ht="30" customHeight="1">
      <c r="A34" s="6" t="n">
        <v>7</v>
      </c>
      <c r="B34" s="6" t="inlineStr">
        <is>
          <t>COLUMN_SETUP</t>
        </is>
      </c>
      <c r="C34" s="6" t="inlineStr">
        <is>
          <t>공통</t>
        </is>
      </c>
      <c r="D34" s="6" t="inlineStr"/>
      <c r="E34" s="6" t="inlineStr">
        <is>
          <t>Column Setting 팝업 — 사용자·사업부별 컬럼 표시/순서 (SHEET_COLUMNS 66건)</t>
        </is>
      </c>
      <c r="F34" s="6" t="inlineStr"/>
      <c r="G34" s="6" t="inlineStr">
        <is>
          <t>DMF0002_GET_TITLESET_POPUP / PKG_SCM0002.P_SCM0002_SET_TITLESET_POPUP (DMF0003 선례)</t>
        </is>
      </c>
      <c r="H34" s="6" t="inlineStr">
        <is>
          <t>btnColumn (Tag='Column Show' → DM0002_TitleSetForm_Popup true)</t>
        </is>
      </c>
    </row>
    <row r="35" ht="18" customHeight="1">
      <c r="A35" s="6" t="n">
        <v>8</v>
      </c>
      <c r="B35" s="6" t="inlineStr">
        <is>
          <t>MEASURE_SELECT</t>
        </is>
      </c>
      <c r="C35" s="6" t="inlineStr">
        <is>
          <t>공통</t>
        </is>
      </c>
      <c r="D35" s="6" t="inlineStr"/>
      <c r="E35" s="6" t="inlineStr">
        <is>
          <t>Measure Select 팝업 — 사용자별 Measure 표시 (SHEET_MEASURE 31건)</t>
        </is>
      </c>
      <c r="F35" s="6" t="inlineStr"/>
      <c r="G35" s="6" t="inlineStr">
        <is>
          <t>동일 TitleSet (isColumn=false)</t>
        </is>
      </c>
      <c r="H35" s="6" t="inlineStr">
        <is>
          <t>btnMeasure (Tag='Measure Show')</t>
        </is>
      </c>
    </row>
    <row r="36" ht="30" customHeight="1">
      <c r="A36" s="6" t="n">
        <v>9</v>
      </c>
      <c r="B36" s="6" t="inlineStr">
        <is>
          <t>CONDITION / RESET_CONDITION</t>
        </is>
      </c>
      <c r="C36" s="6" t="inlineStr">
        <is>
          <t>공통(F6/F10)</t>
        </is>
      </c>
      <c r="D36" s="6" t="inlineStr"/>
      <c r="E36" s="6" t="inlineStr">
        <is>
          <t>조회조건 저장/초기화 (Figma 캡쳐 기준 공통 버튼 세트)</t>
        </is>
      </c>
      <c r="F36" s="6" t="inlineStr"/>
      <c r="G36" s="6" t="inlineStr">
        <is>
          <t>(FE 공통)</t>
        </is>
      </c>
      <c r="H36" s="6" t="inlineStr">
        <is>
          <t>-</t>
        </is>
      </c>
    </row>
    <row r="37" ht="45" customHeight="1">
      <c r="A37" s="6" t="n">
        <v>10</v>
      </c>
      <c r="B37" s="6" t="inlineStr">
        <is>
          <t>(EDIT — 등록 제외)</t>
        </is>
      </c>
      <c r="C37" s="6" t="inlineStr">
        <is>
          <t>AS-IS F2</t>
        </is>
      </c>
      <c r="D37" s="6" t="inlineStr"/>
      <c r="E37" s="6" t="inlineStr">
        <is>
          <t>AS-IS 편집모드 진입 (Daily 차단 MSG00361 / 필수컬럼 MSG00429·00113 / 권한·행별 잠금 재계산) → TO-BE 는 그리드 상시 편집 + editLock 규칙으로 대체 (DMF0003 선례)</t>
        </is>
      </c>
      <c r="F37" s="6" t="inlineStr"/>
      <c r="G37" s="6" t="inlineStr">
        <is>
          <t>-</t>
        </is>
      </c>
      <c r="H37" s="6" t="inlineStr">
        <is>
          <t>EditButton</t>
        </is>
      </c>
    </row>
    <row r="39">
      <c r="A39" s="2" t="inlineStr">
        <is>
          <t>※ AS-IS cboKRW/cboUSD/cboLOC 콤보(금액 환산)는 컨트롤 자체가 없는 dead 핸들러 — TO-BE 미적용.</t>
        </is>
      </c>
    </row>
    <row r="40">
      <c r="A40" s="2" t="inlineStr">
        <is>
          <t>※ 조회 SP p_user_dept_id = UserInfoContext["Dept_ID"] (JV Planner), p_userinfo = NowGroupID — BE 자동 주입 대상.</t>
        </is>
      </c>
    </row>
  </sheetData>
  <mergeCells count="4">
    <mergeCell ref="A4:H4"/>
    <mergeCell ref="A26:H26"/>
    <mergeCell ref="A3:H3"/>
    <mergeCell ref="A19:H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6" customWidth="1" min="4" max="4"/>
    <col width="6" customWidth="1" min="5" max="5"/>
    <col width="9" customWidth="1" min="6" max="6"/>
    <col width="34" customWidth="1" min="7" max="7"/>
    <col width="6" customWidth="1" min="8" max="8"/>
    <col width="6" customWidth="1" min="9" max="9"/>
    <col width="40" customWidth="1" min="10" max="10"/>
  </cols>
  <sheetData>
    <row r="1" ht="21" customHeight="1">
      <c r="A1" s="1" t="inlineStr">
        <is>
          <t>4. GRID — UI CATEGORY SETUP + 정적/동적 컬럼</t>
        </is>
      </c>
    </row>
    <row r="2">
      <c r="A2" s="2" t="inlineStr">
        <is>
          <t>DMF0021 Sales Plan · UI 분석서 v1.0 · 2026-07-09 (hook #105 11시트)</t>
        </is>
      </c>
    </row>
    <row r="3" ht="28" customHeight="1">
      <c r="A3" s="3" t="inlineStr">
        <is>
          <t>📖 읽는 법 — 그리드 컬럼 설계(SHEET_COLUMNS 실데이터). 표시/편집칸/사업부.</t>
        </is>
      </c>
    </row>
    <row r="4" ht="20" customHeight="1">
      <c r="A4" s="4" t="inlineStr">
        <is>
          <t>그리드 인벤토리 — UI CATEGORY SETUP 좌표 (SCM_MST_SHEET_COLUMNS / SHEET_MEASURE 사내 실측 2026-07-05)</t>
        </is>
      </c>
    </row>
    <row r="5">
      <c r="A5" s="5" t="inlineStr">
        <is>
          <t>No</t>
        </is>
      </c>
      <c r="B5" s="5" t="inlineStr">
        <is>
          <t>그리드</t>
        </is>
      </c>
      <c r="C5" s="5" t="inlineStr">
        <is>
          <t>PROGRAM_ID / SHEET_NAME</t>
        </is>
      </c>
      <c r="D5" s="5" t="inlineStr">
        <is>
          <t>메타 행수</t>
        </is>
      </c>
      <c r="E5" s="5" t="inlineStr"/>
      <c r="F5" s="5" t="inlineStr">
        <is>
          <t>컬럼 관리</t>
        </is>
      </c>
      <c r="G5" s="5" t="inlineStr">
        <is>
          <t>비고</t>
        </is>
      </c>
      <c r="H5" s="5" t="inlineStr"/>
      <c r="I5" s="5" t="inlineStr"/>
      <c r="J5" s="5" t="inlineStr"/>
    </row>
    <row r="6" ht="60" customHeight="1">
      <c r="A6" s="6" t="n">
        <v>1</v>
      </c>
      <c r="B6" s="6" t="inlineStr">
        <is>
          <t>메인 그리드</t>
        </is>
      </c>
      <c r="C6" s="6" t="inlineStr">
        <is>
          <t>DMF0021 / 'Sales Plan'</t>
        </is>
      </c>
      <c r="D6" s="6" t="n">
        <v>66</v>
      </c>
      <c r="E6" s="6" t="inlineStr"/>
      <c r="F6" s="6" t="inlineStr">
        <is>
          <t>admin 동적</t>
        </is>
      </c>
      <c r="G6" s="6" t="inlineStr">
        <is>
          <t>정적(마스터) 컬럼 — SHEET_COLUMNS 66건 등록 완료 (아래 전수). AS-IS 하드코딩 컬럼 0 — GET_SPREAD_TITLE 이 TitleSet 메타+사업부 기준 3단 헤더 동적 생성</t>
        </is>
      </c>
      <c r="H6" s="6" t="inlineStr"/>
      <c r="I6" s="6" t="inlineStr"/>
      <c r="J6" s="6" t="inlineStr"/>
    </row>
    <row r="7" ht="45" customHeight="1">
      <c r="A7" s="6" t="n">
        <v>2</v>
      </c>
      <c r="B7" s="6" t="inlineStr">
        <is>
          <t>동적 기간 컬럼</t>
        </is>
      </c>
      <c r="C7" s="6" t="inlineStr">
        <is>
          <t>DMF0021 / (SP 생성)</t>
        </is>
      </c>
      <c r="D7" s="6" t="inlineStr">
        <is>
          <t>-</t>
        </is>
      </c>
      <c r="E7" s="6" t="inlineStr"/>
      <c r="F7" s="6" t="inlineStr">
        <is>
          <t>SP 동적</t>
        </is>
      </c>
      <c r="G7" s="6" t="inlineStr">
        <is>
          <t>D_yyyymmdd / W_yyyymm+ISO주차 / M_yyyymm / B_*(항상 숨김) — DMF0021_GET_SPREAD_TITLE(5 param: 기간+사용자+사업부+버킷)</t>
        </is>
      </c>
      <c r="H7" s="6" t="inlineStr"/>
      <c r="I7" s="6" t="inlineStr"/>
      <c r="J7" s="6" t="inlineStr"/>
    </row>
    <row r="8" ht="45" customHeight="1">
      <c r="A8" s="6" t="n">
        <v>3</v>
      </c>
      <c r="B8" s="6" t="inlineStr">
        <is>
          <t>Measure 메타</t>
        </is>
      </c>
      <c r="C8" s="6" t="inlineStr">
        <is>
          <t>DMF0021 / 'Sales Plan'</t>
        </is>
      </c>
      <c r="D8" s="6" t="n">
        <v>31</v>
      </c>
      <c r="E8" s="6" t="inlineStr"/>
      <c r="F8" s="6" t="inlineStr">
        <is>
          <t>admin 동적</t>
        </is>
      </c>
      <c r="G8" s="6" t="inlineStr">
        <is>
          <t>SCM_MST_SHEET_MEASURE 31건 (아래 전수) — Measure Select 팝업 대상. Insert 콤보는 GET_SALES_PLAN_MEASUREINFO</t>
        </is>
      </c>
      <c r="H8" s="6" t="inlineStr"/>
      <c r="I8" s="6" t="inlineStr"/>
      <c r="J8" s="6" t="inlineStr"/>
    </row>
    <row r="9" ht="30" customHeight="1">
      <c r="A9" s="6" t="n">
        <v>4</v>
      </c>
      <c r="B9" s="6" t="inlineStr">
        <is>
          <t>(참고)</t>
        </is>
      </c>
      <c r="C9" s="6" t="inlineStr">
        <is>
          <t>DMF0021 / 'Sales Plan Waterfall'</t>
        </is>
      </c>
      <c r="D9" s="6" t="n">
        <v>17</v>
      </c>
      <c r="E9" s="6" t="inlineStr"/>
      <c r="F9" s="6" t="inlineStr">
        <is>
          <t>-</t>
        </is>
      </c>
      <c r="G9" s="6" t="inlineStr">
        <is>
          <t>SHEET_MEASURE 에 병존 — DMF0022(Waterfall) 몫으로 추정, 본 화면 미사용</t>
        </is>
      </c>
      <c r="H9" s="6" t="inlineStr"/>
      <c r="I9" s="6" t="inlineStr"/>
      <c r="J9" s="6" t="inlineStr"/>
    </row>
    <row r="11" ht="20" customHeight="1">
      <c r="A11" s="4" t="inlineStr">
        <is>
          <t>메인 그리드 'Sales Plan' 정적 컬럼 상세 — SHEET_COLUMNS 실측 66건 (전수)</t>
        </is>
      </c>
    </row>
    <row r="12">
      <c r="A12" s="5" t="inlineStr">
        <is>
          <t>No</t>
        </is>
      </c>
      <c r="B12" s="5" t="inlineStr">
        <is>
          <t>COLUMN_NAME</t>
        </is>
      </c>
      <c r="C12" s="5" t="inlineStr">
        <is>
          <t>라벨</t>
        </is>
      </c>
      <c r="D12" s="5" t="inlineStr">
        <is>
          <t>순서</t>
        </is>
      </c>
      <c r="E12" s="5" t="inlineStr">
        <is>
          <t>표시</t>
        </is>
      </c>
      <c r="F12" s="5" t="inlineStr">
        <is>
          <t>INPUT_TP</t>
        </is>
      </c>
      <c r="G12" s="5" t="inlineStr">
        <is>
          <t>CELL_CTRL / 콤보(CELL_CBO_DATA_TP)</t>
        </is>
      </c>
      <c r="H12" s="5" t="inlineStr">
        <is>
          <t>정렬</t>
        </is>
      </c>
      <c r="I12" s="5" t="inlineStr">
        <is>
          <t>너비</t>
        </is>
      </c>
      <c r="J12" s="5" t="inlineStr">
        <is>
          <t>Division</t>
        </is>
      </c>
    </row>
    <row r="13" ht="18" customHeight="1">
      <c r="A13" s="6" t="n">
        <v>1</v>
      </c>
      <c r="B13" s="6" t="inlineStr">
        <is>
          <t>DIVISION_ID</t>
        </is>
      </c>
      <c r="C13" s="6" t="inlineStr">
        <is>
          <t>Division*</t>
        </is>
      </c>
      <c r="D13" s="6" t="inlineStr">
        <is>
          <t>10</t>
        </is>
      </c>
      <c r="E13" s="6" t="inlineStr">
        <is>
          <t>Y</t>
        </is>
      </c>
      <c r="F13" s="6" t="inlineStr">
        <is>
          <t>S</t>
        </is>
      </c>
      <c r="G13" s="6" t="inlineStr">
        <is>
          <t>FPComboBox / Division</t>
        </is>
      </c>
      <c r="H13" s="6" t="inlineStr">
        <is>
          <t>L</t>
        </is>
      </c>
      <c r="I13" s="6" t="inlineStr">
        <is>
          <t>30</t>
        </is>
      </c>
      <c r="J13" s="6" t="inlineStr">
        <is>
          <t>40,82,81,81_UC,81_HM,81_ST,81_HD,81_HG</t>
        </is>
      </c>
    </row>
    <row r="14" ht="18" customHeight="1">
      <c r="A14" s="6" t="n">
        <v>2</v>
      </c>
      <c r="B14" s="6" t="inlineStr">
        <is>
          <t>DEPT_ID</t>
        </is>
      </c>
      <c r="C14" s="6" t="inlineStr">
        <is>
          <t>Team</t>
        </is>
      </c>
      <c r="D14" s="6" t="inlineStr">
        <is>
          <t>20</t>
        </is>
      </c>
      <c r="E14" s="6" t="inlineStr">
        <is>
          <t>Y</t>
        </is>
      </c>
      <c r="F14" s="6" t="inlineStr">
        <is>
          <t>S</t>
        </is>
      </c>
      <c r="G14" s="6" t="inlineStr">
        <is>
          <t>FPComboBox / DeptId</t>
        </is>
      </c>
      <c r="H14" s="6" t="inlineStr">
        <is>
          <t>L</t>
        </is>
      </c>
      <c r="I14" s="6" t="inlineStr">
        <is>
          <t>80</t>
        </is>
      </c>
      <c r="J14" s="6" t="inlineStr">
        <is>
          <t>40,82,81,81_UC,81_HM,81_ST,81_HD,81_HG</t>
        </is>
      </c>
    </row>
    <row r="15" ht="18" customHeight="1">
      <c r="A15" s="6" t="n">
        <v>3</v>
      </c>
      <c r="B15" s="6" t="inlineStr">
        <is>
          <t>END_CUSTOMER</t>
        </is>
      </c>
      <c r="C15" s="6" t="inlineStr">
        <is>
          <t>End Customer</t>
        </is>
      </c>
      <c r="D15" s="6" t="inlineStr">
        <is>
          <t>30</t>
        </is>
      </c>
      <c r="E15" s="6" t="inlineStr">
        <is>
          <t>Y</t>
        </is>
      </c>
      <c r="F15" s="6" t="inlineStr">
        <is>
          <t>S</t>
        </is>
      </c>
      <c r="G15" s="6" t="inlineStr">
        <is>
          <t>FPComboBox / EndCustomerByDivisionDept</t>
        </is>
      </c>
      <c r="H15" s="6" t="inlineStr">
        <is>
          <t>L</t>
        </is>
      </c>
      <c r="I15" s="6" t="inlineStr">
        <is>
          <t>80</t>
        </is>
      </c>
      <c r="J15" s="6" t="inlineStr">
        <is>
          <t>82,81,81_UC,81_HM,81_ST,81_HD,81_HG</t>
        </is>
      </c>
    </row>
    <row r="16" ht="18" customHeight="1">
      <c r="A16" s="6" t="n">
        <v>4</v>
      </c>
      <c r="B16" s="6" t="inlineStr">
        <is>
          <t>END_CUSTOMER40</t>
        </is>
      </c>
      <c r="C16" s="6" t="inlineStr">
        <is>
          <t>End Customer*</t>
        </is>
      </c>
      <c r="D16" s="6" t="inlineStr">
        <is>
          <t>35</t>
        </is>
      </c>
      <c r="E16" s="6" t="inlineStr">
        <is>
          <t>Y</t>
        </is>
      </c>
      <c r="F16" s="6" t="inlineStr">
        <is>
          <t>S</t>
        </is>
      </c>
      <c r="G16" s="6" t="inlineStr">
        <is>
          <t>FPComboBox / EndCustomerByDivision40</t>
        </is>
      </c>
      <c r="H16" s="6" t="inlineStr">
        <is>
          <t>L</t>
        </is>
      </c>
      <c r="I16" s="6" t="inlineStr">
        <is>
          <t>80</t>
        </is>
      </c>
      <c r="J16" s="6" t="inlineStr">
        <is>
          <t>40</t>
        </is>
      </c>
    </row>
    <row r="17" ht="18" customHeight="1">
      <c r="A17" s="6" t="n">
        <v>5</v>
      </c>
      <c r="B17" s="6" t="inlineStr">
        <is>
          <t>SCM_SITE_ID</t>
        </is>
      </c>
      <c r="C17" s="6" t="inlineStr">
        <is>
          <t>Sales Site*</t>
        </is>
      </c>
      <c r="D17" s="6" t="inlineStr">
        <is>
          <t>40</t>
        </is>
      </c>
      <c r="E17" s="6" t="inlineStr">
        <is>
          <t>Y</t>
        </is>
      </c>
      <c r="F17" s="6" t="inlineStr">
        <is>
          <t>S</t>
        </is>
      </c>
      <c r="G17" s="6" t="inlineStr">
        <is>
          <t>FPComboBox / SiteByEndCustomer_InnerCode</t>
        </is>
      </c>
      <c r="H17" s="6" t="inlineStr">
        <is>
          <t>L</t>
        </is>
      </c>
      <c r="I17" s="6" t="inlineStr">
        <is>
          <t>120</t>
        </is>
      </c>
      <c r="J17" s="6" t="inlineStr">
        <is>
          <t>40,82,81,81_UC,81_HM,81_ST,81_HD,81_HG</t>
        </is>
      </c>
    </row>
    <row r="18" ht="18" customHeight="1">
      <c r="A18" s="6" t="n">
        <v>6</v>
      </c>
      <c r="B18" s="6" t="inlineStr">
        <is>
          <t>CUST_GROUP</t>
        </is>
      </c>
      <c r="C18" s="6" t="inlineStr">
        <is>
          <t>Cust Group</t>
        </is>
      </c>
      <c r="D18" s="6" t="inlineStr">
        <is>
          <t>50</t>
        </is>
      </c>
      <c r="E18" s="6" t="inlineStr">
        <is>
          <t>Y</t>
        </is>
      </c>
      <c r="F18" s="6" t="inlineStr">
        <is>
          <t>S</t>
        </is>
      </c>
      <c r="G18" s="6" t="inlineStr">
        <is>
          <t>-</t>
        </is>
      </c>
      <c r="H18" s="6" t="inlineStr">
        <is>
          <t>L</t>
        </is>
      </c>
      <c r="I18" s="6" t="inlineStr">
        <is>
          <t>80</t>
        </is>
      </c>
      <c r="J18" s="6" t="inlineStr">
        <is>
          <t>40</t>
        </is>
      </c>
    </row>
    <row r="19" ht="18" customHeight="1">
      <c r="A19" s="6" t="n">
        <v>7</v>
      </c>
      <c r="B19" s="6" t="inlineStr">
        <is>
          <t>PROJECT_CODE</t>
        </is>
      </c>
      <c r="C19" s="6" t="inlineStr">
        <is>
          <t>Project Code*</t>
        </is>
      </c>
      <c r="D19" s="6" t="inlineStr">
        <is>
          <t>50</t>
        </is>
      </c>
      <c r="E19" s="6" t="inlineStr">
        <is>
          <t>Y</t>
        </is>
      </c>
      <c r="F19" s="6" t="inlineStr">
        <is>
          <t>S</t>
        </is>
      </c>
      <c r="G19" s="6" t="inlineStr">
        <is>
          <t>-</t>
        </is>
      </c>
      <c r="H19" s="6" t="inlineStr">
        <is>
          <t>L</t>
        </is>
      </c>
      <c r="I19" s="6" t="inlineStr">
        <is>
          <t>80</t>
        </is>
      </c>
      <c r="J19" s="6" t="inlineStr">
        <is>
          <t>82,81,81_UC,81_HM,81_ST,81_HD,81_HG</t>
        </is>
      </c>
    </row>
    <row r="20" ht="18" customHeight="1">
      <c r="A20" s="6" t="n">
        <v>8</v>
      </c>
      <c r="B20" s="6" t="inlineStr">
        <is>
          <t>CUST_GROUP_DTL</t>
        </is>
      </c>
      <c r="C20" s="6" t="inlineStr">
        <is>
          <t>Cust Group Dtl</t>
        </is>
      </c>
      <c r="D20" s="6" t="inlineStr">
        <is>
          <t>52</t>
        </is>
      </c>
      <c r="E20" s="6" t="inlineStr">
        <is>
          <t>Y</t>
        </is>
      </c>
      <c r="F20" s="6" t="inlineStr">
        <is>
          <t>S</t>
        </is>
      </c>
      <c r="G20" s="6" t="inlineStr">
        <is>
          <t>-</t>
        </is>
      </c>
      <c r="H20" s="6" t="inlineStr">
        <is>
          <t>L</t>
        </is>
      </c>
      <c r="I20" s="6" t="inlineStr">
        <is>
          <t>80</t>
        </is>
      </c>
      <c r="J20" s="6" t="inlineStr">
        <is>
          <t>40</t>
        </is>
      </c>
    </row>
    <row r="21" ht="18" customHeight="1">
      <c r="A21" s="6" t="n">
        <v>9</v>
      </c>
      <c r="B21" s="6" t="inlineStr">
        <is>
          <t>OWNER</t>
        </is>
      </c>
      <c r="C21" s="6" t="inlineStr">
        <is>
          <t>Owner</t>
        </is>
      </c>
      <c r="D21" s="6" t="inlineStr">
        <is>
          <t>54</t>
        </is>
      </c>
      <c r="E21" s="6" t="inlineStr">
        <is>
          <t>Y</t>
        </is>
      </c>
      <c r="F21" s="6" t="inlineStr">
        <is>
          <t>S</t>
        </is>
      </c>
      <c r="G21" s="6" t="inlineStr">
        <is>
          <t>-</t>
        </is>
      </c>
      <c r="H21" s="6" t="inlineStr">
        <is>
          <t>L</t>
        </is>
      </c>
      <c r="I21" s="6" t="inlineStr">
        <is>
          <t>80</t>
        </is>
      </c>
      <c r="J21" s="6" t="inlineStr">
        <is>
          <t>40,82,81,81_UC,81_HM,81_ST,81_HD,81_HG</t>
        </is>
      </c>
    </row>
    <row r="22" ht="18" customHeight="1">
      <c r="A22" s="6" t="n">
        <v>10</v>
      </c>
      <c r="B22" s="6" t="inlineStr">
        <is>
          <t>APPLICATION</t>
        </is>
      </c>
      <c r="C22" s="6" t="inlineStr">
        <is>
          <t>Applicaion</t>
        </is>
      </c>
      <c r="D22" s="6" t="inlineStr">
        <is>
          <t>56</t>
        </is>
      </c>
      <c r="E22" s="6" t="inlineStr">
        <is>
          <t>Y</t>
        </is>
      </c>
      <c r="F22" s="6" t="inlineStr">
        <is>
          <t>S</t>
        </is>
      </c>
      <c r="G22" s="6" t="inlineStr">
        <is>
          <t>-</t>
        </is>
      </c>
      <c r="H22" s="6" t="inlineStr">
        <is>
          <t>L</t>
        </is>
      </c>
      <c r="I22" s="6" t="inlineStr">
        <is>
          <t>80</t>
        </is>
      </c>
      <c r="J22" s="6" t="inlineStr">
        <is>
          <t>40</t>
        </is>
      </c>
    </row>
    <row r="23" ht="18" customHeight="1">
      <c r="A23" s="6" t="n">
        <v>11</v>
      </c>
      <c r="B23" s="6" t="inlineStr">
        <is>
          <t>ROUTE</t>
        </is>
      </c>
      <c r="C23" s="6" t="inlineStr">
        <is>
          <t>Route</t>
        </is>
      </c>
      <c r="D23" s="6" t="inlineStr">
        <is>
          <t>58</t>
        </is>
      </c>
      <c r="E23" s="6" t="inlineStr">
        <is>
          <t>Y</t>
        </is>
      </c>
      <c r="F23" s="6" t="inlineStr">
        <is>
          <t>S</t>
        </is>
      </c>
      <c r="G23" s="6" t="inlineStr">
        <is>
          <t>-</t>
        </is>
      </c>
      <c r="H23" s="6" t="inlineStr">
        <is>
          <t>L</t>
        </is>
      </c>
      <c r="I23" s="6" t="inlineStr">
        <is>
          <t>80</t>
        </is>
      </c>
      <c r="J23" s="6" t="inlineStr">
        <is>
          <t>40</t>
        </is>
      </c>
    </row>
    <row r="24" ht="18" customHeight="1">
      <c r="A24" s="6" t="n">
        <v>12</v>
      </c>
      <c r="B24" s="6" t="inlineStr">
        <is>
          <t>PROJECT_NAME</t>
        </is>
      </c>
      <c r="C24" s="6" t="inlineStr">
        <is>
          <t>Project</t>
        </is>
      </c>
      <c r="D24" s="6" t="inlineStr">
        <is>
          <t>60</t>
        </is>
      </c>
      <c r="E24" s="6" t="inlineStr">
        <is>
          <t>Y</t>
        </is>
      </c>
      <c r="F24" s="6" t="inlineStr">
        <is>
          <t>S</t>
        </is>
      </c>
      <c r="G24" s="6" t="inlineStr">
        <is>
          <t>-</t>
        </is>
      </c>
      <c r="H24" s="6" t="inlineStr">
        <is>
          <t>L</t>
        </is>
      </c>
      <c r="I24" s="6" t="inlineStr">
        <is>
          <t>80</t>
        </is>
      </c>
      <c r="J24" s="6" t="inlineStr">
        <is>
          <t>82</t>
        </is>
      </c>
    </row>
    <row r="25" ht="18" customHeight="1">
      <c r="A25" s="6" t="n">
        <v>13</v>
      </c>
      <c r="B25" s="6" t="inlineStr">
        <is>
          <t>PROJECT_STATUS</t>
        </is>
      </c>
      <c r="C25" s="6" t="inlineStr">
        <is>
          <t>Project Status</t>
        </is>
      </c>
      <c r="D25" s="6" t="inlineStr">
        <is>
          <t>70</t>
        </is>
      </c>
      <c r="E25" s="6" t="inlineStr">
        <is>
          <t>Y</t>
        </is>
      </c>
      <c r="F25" s="6" t="inlineStr">
        <is>
          <t>S</t>
        </is>
      </c>
      <c r="G25" s="6" t="inlineStr">
        <is>
          <t>-</t>
        </is>
      </c>
      <c r="H25" s="6" t="inlineStr">
        <is>
          <t>L</t>
        </is>
      </c>
      <c r="I25" s="6" t="inlineStr">
        <is>
          <t>80</t>
        </is>
      </c>
      <c r="J25" s="6" t="inlineStr">
        <is>
          <t>82,81,81_UC,81_HM,81_ST,81_HD,81_HG</t>
        </is>
      </c>
    </row>
    <row r="26" ht="18" customHeight="1">
      <c r="A26" s="6" t="n">
        <v>14</v>
      </c>
      <c r="B26" s="6" t="inlineStr">
        <is>
          <t>PROJECT_OWNER</t>
        </is>
      </c>
      <c r="C26" s="6" t="inlineStr">
        <is>
          <t>Project Owner</t>
        </is>
      </c>
      <c r="D26" s="6" t="inlineStr">
        <is>
          <t>71</t>
        </is>
      </c>
      <c r="E26" s="6" t="inlineStr">
        <is>
          <t>Y</t>
        </is>
      </c>
      <c r="F26" s="6" t="inlineStr">
        <is>
          <t>S</t>
        </is>
      </c>
      <c r="G26" s="6" t="inlineStr">
        <is>
          <t>-</t>
        </is>
      </c>
      <c r="H26" s="6" t="inlineStr">
        <is>
          <t>L</t>
        </is>
      </c>
      <c r="I26" s="6" t="inlineStr">
        <is>
          <t>80</t>
        </is>
      </c>
      <c r="J26" s="6" t="inlineStr">
        <is>
          <t>81,81_UC,81_HM,81_ST,81_HD,81_HG</t>
        </is>
      </c>
    </row>
    <row r="27" ht="18" customHeight="1">
      <c r="A27" s="6" t="n">
        <v>15</v>
      </c>
      <c r="B27" s="6" t="inlineStr">
        <is>
          <t>BIZ_TYPE_NAME</t>
        </is>
      </c>
      <c r="C27" s="6" t="inlineStr">
        <is>
          <t>Biz.Type</t>
        </is>
      </c>
      <c r="D27" s="6" t="inlineStr">
        <is>
          <t>80</t>
        </is>
      </c>
      <c r="E27" s="6" t="inlineStr">
        <is>
          <t>Y</t>
        </is>
      </c>
      <c r="F27" s="6" t="inlineStr">
        <is>
          <t>S</t>
        </is>
      </c>
      <c r="G27" s="6" t="inlineStr">
        <is>
          <t>FPComboBox / BizTypeByDivision</t>
        </is>
      </c>
      <c r="H27" s="6" t="inlineStr">
        <is>
          <t>L</t>
        </is>
      </c>
      <c r="I27" s="6" t="inlineStr">
        <is>
          <t>80</t>
        </is>
      </c>
      <c r="J27" s="6" t="inlineStr">
        <is>
          <t>82,81,81_UC,81_HM,81_ST,81_HD,81_HG</t>
        </is>
      </c>
    </row>
    <row r="28" ht="18" customHeight="1">
      <c r="A28" s="6" t="n">
        <v>16</v>
      </c>
      <c r="B28" s="6" t="inlineStr">
        <is>
          <t>BIZ_TYPE_NAME40</t>
        </is>
      </c>
      <c r="C28" s="6" t="inlineStr">
        <is>
          <t>Biz.Type</t>
        </is>
      </c>
      <c r="D28" s="6" t="inlineStr">
        <is>
          <t>80</t>
        </is>
      </c>
      <c r="E28" s="6" t="inlineStr">
        <is>
          <t>Y</t>
        </is>
      </c>
      <c r="F28" s="6" t="inlineStr">
        <is>
          <t>S</t>
        </is>
      </c>
      <c r="G28" s="6" t="inlineStr">
        <is>
          <t>FPComboBox / DmBizType</t>
        </is>
      </c>
      <c r="H28" s="6" t="inlineStr">
        <is>
          <t>L</t>
        </is>
      </c>
      <c r="I28" s="6" t="inlineStr">
        <is>
          <t>80</t>
        </is>
      </c>
      <c r="J28" s="6" t="inlineStr">
        <is>
          <t>40</t>
        </is>
      </c>
    </row>
    <row r="29" ht="18" customHeight="1">
      <c r="A29" s="6" t="n">
        <v>17</v>
      </c>
      <c r="B29" s="6" t="inlineStr">
        <is>
          <t>GROUP_ID</t>
        </is>
      </c>
      <c r="C29" s="6" t="inlineStr">
        <is>
          <t>Group Id</t>
        </is>
      </c>
      <c r="D29" s="6" t="inlineStr">
        <is>
          <t>85</t>
        </is>
      </c>
      <c r="E29" s="6" t="inlineStr">
        <is>
          <t>N</t>
        </is>
      </c>
      <c r="F29" s="6" t="inlineStr">
        <is>
          <t>S</t>
        </is>
      </c>
      <c r="G29" s="6" t="inlineStr">
        <is>
          <t>FPText</t>
        </is>
      </c>
      <c r="H29" s="6" t="inlineStr">
        <is>
          <t>L</t>
        </is>
      </c>
      <c r="I29" s="6" t="inlineStr">
        <is>
          <t>0</t>
        </is>
      </c>
      <c r="J29" s="6" t="inlineStr">
        <is>
          <t>40,82,81,81_UC,81_HM,81_ST,81_HD,81_HG</t>
        </is>
      </c>
    </row>
    <row r="30" ht="18" customHeight="1">
      <c r="A30" s="6" t="n">
        <v>18</v>
      </c>
      <c r="B30" s="6" t="inlineStr">
        <is>
          <t>ITEM_ID</t>
        </is>
      </c>
      <c r="C30" s="6" t="inlineStr">
        <is>
          <t>Model*</t>
        </is>
      </c>
      <c r="D30" s="6" t="inlineStr">
        <is>
          <t>90</t>
        </is>
      </c>
      <c r="E30" s="6" t="inlineStr">
        <is>
          <t>Y</t>
        </is>
      </c>
      <c r="F30" s="6" t="inlineStr">
        <is>
          <t>S</t>
        </is>
      </c>
      <c r="G30" s="6" t="inlineStr">
        <is>
          <t>-</t>
        </is>
      </c>
      <c r="H30" s="6" t="inlineStr">
        <is>
          <t>L</t>
        </is>
      </c>
      <c r="I30" s="6" t="inlineStr">
        <is>
          <t>100</t>
        </is>
      </c>
      <c r="J30" s="6" t="inlineStr">
        <is>
          <t>40,82,81,81_UC,81_HM,81_ST,81_HD,81_HG</t>
        </is>
      </c>
    </row>
    <row r="31" ht="18" customHeight="1">
      <c r="A31" s="6" t="n">
        <v>19</v>
      </c>
      <c r="B31" s="6" t="inlineStr">
        <is>
          <t>TEXT</t>
        </is>
      </c>
      <c r="C31" s="6" t="inlineStr">
        <is>
          <t>Text*</t>
        </is>
      </c>
      <c r="D31" s="6" t="inlineStr">
        <is>
          <t>95</t>
        </is>
      </c>
      <c r="E31" s="6" t="inlineStr">
        <is>
          <t>Y</t>
        </is>
      </c>
      <c r="F31" s="6" t="inlineStr">
        <is>
          <t>S</t>
        </is>
      </c>
      <c r="G31" s="6" t="inlineStr">
        <is>
          <t>-</t>
        </is>
      </c>
      <c r="H31" s="6" t="inlineStr">
        <is>
          <t>L</t>
        </is>
      </c>
      <c r="I31" s="6" t="inlineStr">
        <is>
          <t>100</t>
        </is>
      </c>
      <c r="J31" s="6" t="inlineStr">
        <is>
          <t>81,81_UC,81_HM,81_ST,81_HD,81_HG</t>
        </is>
      </c>
    </row>
    <row r="32" ht="18" customHeight="1">
      <c r="A32" s="6" t="n">
        <v>20</v>
      </c>
      <c r="B32" s="6" t="inlineStr">
        <is>
          <t>TEXT4082</t>
        </is>
      </c>
      <c r="C32" s="6" t="inlineStr">
        <is>
          <t>Text</t>
        </is>
      </c>
      <c r="D32" s="6" t="inlineStr">
        <is>
          <t>96</t>
        </is>
      </c>
      <c r="E32" s="6" t="inlineStr">
        <is>
          <t>Y</t>
        </is>
      </c>
      <c r="F32" s="6" t="inlineStr">
        <is>
          <t>S</t>
        </is>
      </c>
      <c r="G32" s="6" t="inlineStr">
        <is>
          <t>-</t>
        </is>
      </c>
      <c r="H32" s="6" t="inlineStr">
        <is>
          <t>L</t>
        </is>
      </c>
      <c r="I32" s="6" t="inlineStr">
        <is>
          <t>100</t>
        </is>
      </c>
      <c r="J32" s="6" t="inlineStr">
        <is>
          <t>40,82</t>
        </is>
      </c>
    </row>
    <row r="33" ht="18" customHeight="1">
      <c r="A33" s="6" t="n">
        <v>21</v>
      </c>
      <c r="B33" s="6" t="inlineStr">
        <is>
          <t>ITEM_CLASS_NAME</t>
        </is>
      </c>
      <c r="C33" s="6" t="inlineStr">
        <is>
          <t>Model Type</t>
        </is>
      </c>
      <c r="D33" s="6" t="inlineStr">
        <is>
          <t>100</t>
        </is>
      </c>
      <c r="E33" s="6" t="inlineStr">
        <is>
          <t>Y</t>
        </is>
      </c>
      <c r="F33" s="6" t="inlineStr">
        <is>
          <t>S</t>
        </is>
      </c>
      <c r="G33" s="6" t="inlineStr">
        <is>
          <t>-</t>
        </is>
      </c>
      <c r="H33" s="6" t="inlineStr">
        <is>
          <t>L</t>
        </is>
      </c>
      <c r="I33" s="6" t="inlineStr">
        <is>
          <t>80</t>
        </is>
      </c>
      <c r="J33" s="6" t="inlineStr">
        <is>
          <t>40,81,81_UC,81_HM,81_ST,81_HD,81_HG</t>
        </is>
      </c>
    </row>
    <row r="34" ht="18" customHeight="1">
      <c r="A34" s="6" t="n">
        <v>22</v>
      </c>
      <c r="B34" s="6" t="inlineStr">
        <is>
          <t>ITEM_NAME</t>
        </is>
      </c>
      <c r="C34" s="6" t="inlineStr">
        <is>
          <t>Model Name</t>
        </is>
      </c>
      <c r="D34" s="6" t="inlineStr">
        <is>
          <t>110</t>
        </is>
      </c>
      <c r="E34" s="6" t="inlineStr">
        <is>
          <t>Y</t>
        </is>
      </c>
      <c r="F34" s="6" t="inlineStr">
        <is>
          <t>S</t>
        </is>
      </c>
      <c r="G34" s="6" t="inlineStr">
        <is>
          <t>-</t>
        </is>
      </c>
      <c r="H34" s="6" t="inlineStr">
        <is>
          <t>L</t>
        </is>
      </c>
      <c r="I34" s="6" t="inlineStr">
        <is>
          <t>80</t>
        </is>
      </c>
      <c r="J34" s="6" t="inlineStr">
        <is>
          <t>40,82,81,81_UC,81_HM,81_ST,81_HD,81_HG</t>
        </is>
      </c>
    </row>
    <row r="35" ht="18" customHeight="1">
      <c r="A35" s="6" t="n">
        <v>23</v>
      </c>
      <c r="B35" s="6" t="inlineStr">
        <is>
          <t>KWH_CELL</t>
        </is>
      </c>
      <c r="C35" s="6" t="inlineStr">
        <is>
          <t>KWh/Cell</t>
        </is>
      </c>
      <c r="D35" s="6" t="inlineStr">
        <is>
          <t>111</t>
        </is>
      </c>
      <c r="E35" s="6" t="inlineStr">
        <is>
          <t>Y</t>
        </is>
      </c>
      <c r="F35" s="6" t="inlineStr">
        <is>
          <t>S</t>
        </is>
      </c>
      <c r="G35" s="6" t="inlineStr">
        <is>
          <t>FPNumber</t>
        </is>
      </c>
      <c r="H35" s="6" t="inlineStr">
        <is>
          <t>R</t>
        </is>
      </c>
      <c r="I35" s="6" t="inlineStr">
        <is>
          <t>100</t>
        </is>
      </c>
      <c r="J35" s="6" t="inlineStr">
        <is>
          <t>81,81_UC,81_HM,81_ST,81_HD,81_HG</t>
        </is>
      </c>
    </row>
    <row r="36" ht="18" customHeight="1">
      <c r="A36" s="6" t="n">
        <v>24</v>
      </c>
      <c r="B36" s="6" t="inlineStr">
        <is>
          <t>KWH_MODULE</t>
        </is>
      </c>
      <c r="C36" s="6" t="inlineStr">
        <is>
          <t>KWh/Module</t>
        </is>
      </c>
      <c r="D36" s="6" t="inlineStr">
        <is>
          <t>112</t>
        </is>
      </c>
      <c r="E36" s="6" t="inlineStr">
        <is>
          <t>Y</t>
        </is>
      </c>
      <c r="F36" s="6" t="inlineStr">
        <is>
          <t>S</t>
        </is>
      </c>
      <c r="G36" s="6" t="inlineStr">
        <is>
          <t>FPNumber</t>
        </is>
      </c>
      <c r="H36" s="6" t="inlineStr">
        <is>
          <t>R</t>
        </is>
      </c>
      <c r="I36" s="6" t="inlineStr">
        <is>
          <t>100</t>
        </is>
      </c>
      <c r="J36" s="6" t="inlineStr">
        <is>
          <t>81,81_UC,81_HM,81_ST,81_HD,81_HG</t>
        </is>
      </c>
    </row>
    <row r="37" ht="18" customHeight="1">
      <c r="A37" s="6" t="n">
        <v>25</v>
      </c>
      <c r="B37" s="6" t="inlineStr">
        <is>
          <t>KWH_PACK</t>
        </is>
      </c>
      <c r="C37" s="6" t="inlineStr">
        <is>
          <t>KWh/Pack</t>
        </is>
      </c>
      <c r="D37" s="6" t="inlineStr">
        <is>
          <t>113</t>
        </is>
      </c>
      <c r="E37" s="6" t="inlineStr">
        <is>
          <t>Y</t>
        </is>
      </c>
      <c r="F37" s="6" t="inlineStr">
        <is>
          <t>S</t>
        </is>
      </c>
      <c r="G37" s="6" t="inlineStr">
        <is>
          <t>FPNumber</t>
        </is>
      </c>
      <c r="H37" s="6" t="inlineStr">
        <is>
          <t>R</t>
        </is>
      </c>
      <c r="I37" s="6" t="inlineStr">
        <is>
          <t>100</t>
        </is>
      </c>
      <c r="J37" s="6" t="inlineStr">
        <is>
          <t>81,81_UC,81_HM,81_ST,81_HD,81_HG</t>
        </is>
      </c>
    </row>
    <row r="38" ht="18" customHeight="1">
      <c r="A38" s="6" t="n">
        <v>26</v>
      </c>
      <c r="B38" s="6" t="inlineStr">
        <is>
          <t>ITEM_TYPE</t>
        </is>
      </c>
      <c r="C38" s="6" t="inlineStr">
        <is>
          <t>Item Type</t>
        </is>
      </c>
      <c r="D38" s="6" t="inlineStr">
        <is>
          <t>120</t>
        </is>
      </c>
      <c r="E38" s="6" t="inlineStr">
        <is>
          <t>Y</t>
        </is>
      </c>
      <c r="F38" s="6" t="inlineStr">
        <is>
          <t>S</t>
        </is>
      </c>
      <c r="G38" s="6" t="inlineStr">
        <is>
          <t>FPComboBox / ItemType</t>
        </is>
      </c>
      <c r="H38" s="6" t="inlineStr">
        <is>
          <t>L</t>
        </is>
      </c>
      <c r="I38" s="6" t="inlineStr">
        <is>
          <t>80</t>
        </is>
      </c>
      <c r="J38" s="6" t="inlineStr">
        <is>
          <t>40,81,81_UC,81_HM,81_ST,81_HD,81_HG</t>
        </is>
      </c>
    </row>
    <row r="39" ht="18" customHeight="1">
      <c r="A39" s="6" t="n">
        <v>27</v>
      </c>
      <c r="B39" s="6" t="inlineStr">
        <is>
          <t>SALES_COMPANY</t>
        </is>
      </c>
      <c r="C39" s="6" t="inlineStr">
        <is>
          <t>Sales Company</t>
        </is>
      </c>
      <c r="D39" s="6" t="inlineStr">
        <is>
          <t>124</t>
        </is>
      </c>
      <c r="E39" s="6" t="inlineStr">
        <is>
          <t>Y</t>
        </is>
      </c>
      <c r="F39" s="6" t="inlineStr">
        <is>
          <t>S</t>
        </is>
      </c>
      <c r="G39" s="6" t="inlineStr">
        <is>
          <t>-</t>
        </is>
      </c>
      <c r="H39" s="6" t="inlineStr">
        <is>
          <t>L</t>
        </is>
      </c>
      <c r="I39" s="6" t="inlineStr">
        <is>
          <t>80</t>
        </is>
      </c>
      <c r="J39" s="6" t="inlineStr">
        <is>
          <t>40,82,81,81_UC,81_HM,81_ST,81_HD,81_HG</t>
        </is>
      </c>
    </row>
    <row r="40" ht="18" customHeight="1">
      <c r="A40" s="6" t="n">
        <v>28</v>
      </c>
      <c r="B40" s="6" t="inlineStr">
        <is>
          <t>SALES_PLANT</t>
        </is>
      </c>
      <c r="C40" s="6" t="inlineStr">
        <is>
          <t>Sales Plant</t>
        </is>
      </c>
      <c r="D40" s="6" t="inlineStr">
        <is>
          <t>125</t>
        </is>
      </c>
      <c r="E40" s="6" t="inlineStr">
        <is>
          <t>Y</t>
        </is>
      </c>
      <c r="F40" s="6" t="inlineStr">
        <is>
          <t>S</t>
        </is>
      </c>
      <c r="G40" s="6" t="inlineStr">
        <is>
          <t>-</t>
        </is>
      </c>
      <c r="H40" s="6" t="inlineStr">
        <is>
          <t>L</t>
        </is>
      </c>
      <c r="I40" s="6" t="inlineStr">
        <is>
          <t>80</t>
        </is>
      </c>
      <c r="J40" s="6" t="inlineStr">
        <is>
          <t>40,82,81,81_UC,81_HM,81_ST,81_HD,81_HG</t>
        </is>
      </c>
    </row>
    <row r="41" ht="18" customHeight="1">
      <c r="A41" s="6" t="n">
        <v>29</v>
      </c>
      <c r="B41" s="6" t="inlineStr">
        <is>
          <t>NICK_NAME</t>
        </is>
      </c>
      <c r="C41" s="6" t="inlineStr">
        <is>
          <t>Nick Name</t>
        </is>
      </c>
      <c r="D41" s="6" t="inlineStr">
        <is>
          <t>130</t>
        </is>
      </c>
      <c r="E41" s="6" t="inlineStr">
        <is>
          <t>Y</t>
        </is>
      </c>
      <c r="F41" s="6" t="inlineStr">
        <is>
          <t>S</t>
        </is>
      </c>
      <c r="G41" s="6" t="inlineStr">
        <is>
          <t>-</t>
        </is>
      </c>
      <c r="H41" s="6" t="inlineStr">
        <is>
          <t>L</t>
        </is>
      </c>
      <c r="I41" s="6" t="inlineStr">
        <is>
          <t>80</t>
        </is>
      </c>
      <c r="J41" s="6" t="inlineStr">
        <is>
          <t>40,82,81,81_UC,81_HM,81_ST,81_HD,81_HG</t>
        </is>
      </c>
    </row>
    <row r="42" ht="18" customHeight="1">
      <c r="A42" s="6" t="n">
        <v>30</v>
      </c>
      <c r="B42" s="6" t="inlineStr">
        <is>
          <t>INCOTERMS</t>
        </is>
      </c>
      <c r="C42" s="6" t="inlineStr">
        <is>
          <t>Incoterms*</t>
        </is>
      </c>
      <c r="D42" s="6" t="inlineStr">
        <is>
          <t>140</t>
        </is>
      </c>
      <c r="E42" s="6" t="inlineStr">
        <is>
          <t>Y</t>
        </is>
      </c>
      <c r="F42" s="6" t="inlineStr">
        <is>
          <t>S</t>
        </is>
      </c>
      <c r="G42" s="6" t="inlineStr">
        <is>
          <t>FPComboBox / Incoterms</t>
        </is>
      </c>
      <c r="H42" s="6" t="inlineStr">
        <is>
          <t>L</t>
        </is>
      </c>
      <c r="I42" s="6" t="inlineStr">
        <is>
          <t>40</t>
        </is>
      </c>
      <c r="J42" s="6" t="inlineStr">
        <is>
          <t>40,82,81,81_UC,81_HM,81_ST,81_HD,81_HG</t>
        </is>
      </c>
    </row>
    <row r="43" ht="18" customHeight="1">
      <c r="A43" s="6" t="n">
        <v>31</v>
      </c>
      <c r="B43" s="6" t="inlineStr">
        <is>
          <t>FCST_TYPE</t>
        </is>
      </c>
      <c r="C43" s="6" t="inlineStr">
        <is>
          <t>FCST Type*</t>
        </is>
      </c>
      <c r="D43" s="6" t="inlineStr">
        <is>
          <t>150</t>
        </is>
      </c>
      <c r="E43" s="6" t="inlineStr">
        <is>
          <t>Y</t>
        </is>
      </c>
      <c r="F43" s="6" t="inlineStr">
        <is>
          <t>S</t>
        </is>
      </c>
      <c r="G43" s="6" t="inlineStr">
        <is>
          <t>FPComboBox / FcstType</t>
        </is>
      </c>
      <c r="H43" s="6" t="inlineStr">
        <is>
          <t>L</t>
        </is>
      </c>
      <c r="I43" s="6" t="inlineStr">
        <is>
          <t>80</t>
        </is>
      </c>
      <c r="J43" s="6" t="inlineStr">
        <is>
          <t>40,82,81,81_UC,81_HM,81_ST,81_HD,81_HG</t>
        </is>
      </c>
    </row>
    <row r="44" ht="18" customHeight="1">
      <c r="A44" s="6" t="n">
        <v>32</v>
      </c>
      <c r="B44" s="6" t="inlineStr">
        <is>
          <t>DOM_EXP</t>
        </is>
      </c>
      <c r="C44" s="6" t="inlineStr">
        <is>
          <t>Customs Handbook*</t>
        </is>
      </c>
      <c r="D44" s="6" t="inlineStr">
        <is>
          <t>160</t>
        </is>
      </c>
      <c r="E44" s="6" t="inlineStr">
        <is>
          <t>Y</t>
        </is>
      </c>
      <c r="F44" s="6" t="inlineStr">
        <is>
          <t>S</t>
        </is>
      </c>
      <c r="G44" s="6" t="inlineStr">
        <is>
          <t>FPComboBox / DOM_EXP</t>
        </is>
      </c>
      <c r="H44" s="6" t="inlineStr">
        <is>
          <t>L</t>
        </is>
      </c>
      <c r="I44" s="6" t="inlineStr">
        <is>
          <t>30</t>
        </is>
      </c>
      <c r="J44" s="6" t="inlineStr">
        <is>
          <t>40,82,81,81_UC,81_HM,81_ST,81_HD,81_HG</t>
        </is>
      </c>
    </row>
    <row r="45" ht="18" customHeight="1">
      <c r="A45" s="6" t="n">
        <v>33</v>
      </c>
      <c r="B45" s="6" t="inlineStr">
        <is>
          <t>FROM_SITE_ID</t>
        </is>
      </c>
      <c r="C45" s="6" t="inlineStr">
        <is>
          <t>FROM_SITE_ID*</t>
        </is>
      </c>
      <c r="D45" s="6" t="inlineStr">
        <is>
          <t>162</t>
        </is>
      </c>
      <c r="E45" s="6" t="inlineStr">
        <is>
          <t>N</t>
        </is>
      </c>
      <c r="F45" s="6" t="inlineStr">
        <is>
          <t>S</t>
        </is>
      </c>
      <c r="G45" s="6" t="inlineStr">
        <is>
          <t>FPComboBox / FromSiteByDivision</t>
        </is>
      </c>
      <c r="H45" s="6" t="inlineStr">
        <is>
          <t>L</t>
        </is>
      </c>
      <c r="I45" s="6" t="inlineStr">
        <is>
          <t>80</t>
        </is>
      </c>
      <c r="J45" s="6" t="inlineStr">
        <is>
          <t>40</t>
        </is>
      </c>
    </row>
    <row r="46" ht="18" customHeight="1">
      <c r="A46" s="6" t="n">
        <v>34</v>
      </c>
      <c r="B46" s="6" t="inlineStr">
        <is>
          <t>COMPANY_ID</t>
        </is>
      </c>
      <c r="C46" s="6" t="inlineStr">
        <is>
          <t>COMPANY_ID*</t>
        </is>
      </c>
      <c r="D46" s="6" t="inlineStr">
        <is>
          <t>165</t>
        </is>
      </c>
      <c r="E46" s="6" t="inlineStr">
        <is>
          <t>Y</t>
        </is>
      </c>
      <c r="F46" s="6" t="inlineStr">
        <is>
          <t>S</t>
        </is>
      </c>
      <c r="G46" s="6" t="inlineStr">
        <is>
          <t>FPComboBox / DM_COMPANY</t>
        </is>
      </c>
      <c r="H46" s="6" t="inlineStr">
        <is>
          <t>L</t>
        </is>
      </c>
      <c r="I46" s="6" t="inlineStr">
        <is>
          <t>80</t>
        </is>
      </c>
      <c r="J46" s="6" t="inlineStr">
        <is>
          <t>40</t>
        </is>
      </c>
    </row>
    <row r="47" ht="18" customHeight="1">
      <c r="A47" s="6" t="n">
        <v>35</v>
      </c>
      <c r="B47" s="6" t="inlineStr">
        <is>
          <t>CELL_PROD_SITE_ID</t>
        </is>
      </c>
      <c r="C47" s="6" t="inlineStr">
        <is>
          <t>Cell Prod Site*</t>
        </is>
      </c>
      <c r="D47" s="6" t="inlineStr">
        <is>
          <t>167</t>
        </is>
      </c>
      <c r="E47" s="6" t="inlineStr">
        <is>
          <t>Y</t>
        </is>
      </c>
      <c r="F47" s="6" t="inlineStr">
        <is>
          <t>S</t>
        </is>
      </c>
      <c r="G47" s="6" t="inlineStr">
        <is>
          <t>FPComboBox / CELL_PROD_SITE_ID</t>
        </is>
      </c>
      <c r="H47" s="6" t="inlineStr">
        <is>
          <t>L</t>
        </is>
      </c>
      <c r="I47" s="6" t="inlineStr">
        <is>
          <t>110</t>
        </is>
      </c>
      <c r="J47" s="6" t="inlineStr">
        <is>
          <t>40</t>
        </is>
      </c>
    </row>
    <row r="48" ht="18" customHeight="1">
      <c r="A48" s="6" t="n">
        <v>36</v>
      </c>
      <c r="B48" s="6" t="inlineStr">
        <is>
          <t>CURRENCY</t>
        </is>
      </c>
      <c r="C48" s="6" t="inlineStr">
        <is>
          <t>Currency*</t>
        </is>
      </c>
      <c r="D48" s="6" t="inlineStr">
        <is>
          <t>170</t>
        </is>
      </c>
      <c r="E48" s="6" t="inlineStr">
        <is>
          <t>Y</t>
        </is>
      </c>
      <c r="F48" s="6" t="inlineStr">
        <is>
          <t>S</t>
        </is>
      </c>
      <c r="G48" s="6" t="inlineStr">
        <is>
          <t>-</t>
        </is>
      </c>
      <c r="H48" s="6" t="inlineStr">
        <is>
          <t>L</t>
        </is>
      </c>
      <c r="I48" s="6" t="inlineStr">
        <is>
          <t>40</t>
        </is>
      </c>
      <c r="J48" s="6" t="inlineStr">
        <is>
          <t>40,82,81,81_UC,81_HM,81_ST,81_HD,81_HG</t>
        </is>
      </c>
    </row>
    <row r="49" ht="18" customHeight="1">
      <c r="A49" s="6" t="n">
        <v>37</v>
      </c>
      <c r="B49" s="6" t="inlineStr">
        <is>
          <t>PLANT_SITE_ID</t>
        </is>
      </c>
      <c r="C49" s="6" t="inlineStr">
        <is>
          <t>Plant Site*</t>
        </is>
      </c>
      <c r="D49" s="6" t="inlineStr">
        <is>
          <t>180</t>
        </is>
      </c>
      <c r="E49" s="6" t="inlineStr">
        <is>
          <t>Y</t>
        </is>
      </c>
      <c r="F49" s="6" t="inlineStr">
        <is>
          <t>S</t>
        </is>
      </c>
      <c r="G49" s="6" t="inlineStr">
        <is>
          <t>FPComboBox / FromSiteByDivision</t>
        </is>
      </c>
      <c r="H49" s="6" t="inlineStr">
        <is>
          <t>L</t>
        </is>
      </c>
      <c r="I49" s="6" t="inlineStr">
        <is>
          <t>80</t>
        </is>
      </c>
      <c r="J49" s="6" t="inlineStr">
        <is>
          <t>81,81_UC,81_HM,81_ST,81_HD,81_HG</t>
        </is>
      </c>
    </row>
    <row r="50" ht="18" customHeight="1">
      <c r="A50" s="6" t="n">
        <v>38</v>
      </c>
      <c r="B50" s="6" t="inlineStr">
        <is>
          <t>INTERNAL_YN</t>
        </is>
      </c>
      <c r="C50" s="6" t="inlineStr">
        <is>
          <t>Internal Txn</t>
        </is>
      </c>
      <c r="D50" s="6" t="inlineStr">
        <is>
          <t>190</t>
        </is>
      </c>
      <c r="E50" s="6" t="inlineStr">
        <is>
          <t>Y</t>
        </is>
      </c>
      <c r="F50" s="6" t="inlineStr">
        <is>
          <t>S</t>
        </is>
      </c>
      <c r="G50" s="6" t="inlineStr">
        <is>
          <t>FPComboBox / YesOrNo</t>
        </is>
      </c>
      <c r="H50" s="6" t="inlineStr">
        <is>
          <t>L</t>
        </is>
      </c>
      <c r="I50" s="6" t="inlineStr">
        <is>
          <t>40</t>
        </is>
      </c>
      <c r="J50" s="6" t="inlineStr">
        <is>
          <t>40</t>
        </is>
      </c>
    </row>
    <row r="51" ht="18" customHeight="1">
      <c r="A51" s="6" t="n">
        <v>39</v>
      </c>
      <c r="B51" s="6" t="inlineStr">
        <is>
          <t>CELL_TYPE</t>
        </is>
      </c>
      <c r="C51" s="6" t="inlineStr">
        <is>
          <t>Product Group</t>
        </is>
      </c>
      <c r="D51" s="6" t="inlineStr">
        <is>
          <t>200</t>
        </is>
      </c>
      <c r="E51" s="6" t="inlineStr">
        <is>
          <t>Y</t>
        </is>
      </c>
      <c r="F51" s="6" t="inlineStr">
        <is>
          <t>S</t>
        </is>
      </c>
      <c r="G51" s="6" t="inlineStr">
        <is>
          <t>-</t>
        </is>
      </c>
      <c r="H51" s="6" t="inlineStr">
        <is>
          <t>L</t>
        </is>
      </c>
      <c r="I51" s="6" t="inlineStr">
        <is>
          <t>80</t>
        </is>
      </c>
      <c r="J51" s="6" t="inlineStr">
        <is>
          <t>40</t>
        </is>
      </c>
    </row>
    <row r="52" ht="18" customHeight="1">
      <c r="A52" s="6" t="n">
        <v>40</v>
      </c>
      <c r="B52" s="6" t="inlineStr">
        <is>
          <t>FORECAST_INFO_CELL_PACK_COUNT</t>
        </is>
      </c>
      <c r="C52" s="6" t="inlineStr">
        <is>
          <t>Cell Pack Count</t>
        </is>
      </c>
      <c r="D52" s="6" t="inlineStr">
        <is>
          <t>210</t>
        </is>
      </c>
      <c r="E52" s="6" t="inlineStr">
        <is>
          <t>Y</t>
        </is>
      </c>
      <c r="F52" s="6" t="inlineStr">
        <is>
          <t>S</t>
        </is>
      </c>
      <c r="G52" s="6" t="inlineStr">
        <is>
          <t>FPNumber</t>
        </is>
      </c>
      <c r="H52" s="6" t="inlineStr">
        <is>
          <t>L</t>
        </is>
      </c>
      <c r="I52" s="6" t="inlineStr">
        <is>
          <t>80</t>
        </is>
      </c>
      <c r="J52" s="6" t="inlineStr">
        <is>
          <t>40</t>
        </is>
      </c>
    </row>
    <row r="53" ht="18" customHeight="1">
      <c r="A53" s="6" t="n">
        <v>41</v>
      </c>
      <c r="B53" s="6" t="inlineStr">
        <is>
          <t>COUNTRY_NAME</t>
        </is>
      </c>
      <c r="C53" s="6" t="inlineStr">
        <is>
          <t>Country</t>
        </is>
      </c>
      <c r="D53" s="6" t="inlineStr">
        <is>
          <t>220</t>
        </is>
      </c>
      <c r="E53" s="6" t="inlineStr">
        <is>
          <t>Y</t>
        </is>
      </c>
      <c r="F53" s="6" t="inlineStr">
        <is>
          <t>S</t>
        </is>
      </c>
      <c r="G53" s="6" t="inlineStr">
        <is>
          <t>-</t>
        </is>
      </c>
      <c r="H53" s="6" t="inlineStr">
        <is>
          <t>L</t>
        </is>
      </c>
      <c r="I53" s="6" t="inlineStr">
        <is>
          <t>80</t>
        </is>
      </c>
      <c r="J53" s="6" t="inlineStr">
        <is>
          <t>40,82,81,81_UC,81_HM,81_ST,81_HD,81_HG</t>
        </is>
      </c>
    </row>
    <row r="54" ht="18" customHeight="1">
      <c r="A54" s="6" t="n">
        <v>42</v>
      </c>
      <c r="B54" s="6" t="inlineStr">
        <is>
          <t>CITY_NAME</t>
        </is>
      </c>
      <c r="C54" s="6" t="inlineStr">
        <is>
          <t>City</t>
        </is>
      </c>
      <c r="D54" s="6" t="inlineStr">
        <is>
          <t>230</t>
        </is>
      </c>
      <c r="E54" s="6" t="inlineStr">
        <is>
          <t>Y</t>
        </is>
      </c>
      <c r="F54" s="6" t="inlineStr">
        <is>
          <t>S</t>
        </is>
      </c>
      <c r="G54" s="6" t="inlineStr">
        <is>
          <t>-</t>
        </is>
      </c>
      <c r="H54" s="6" t="inlineStr">
        <is>
          <t>L</t>
        </is>
      </c>
      <c r="I54" s="6" t="inlineStr">
        <is>
          <t>80</t>
        </is>
      </c>
      <c r="J54" s="6" t="inlineStr">
        <is>
          <t>40,82,81,81_UC,81_HM,81_ST,81_HD,81_HG</t>
        </is>
      </c>
    </row>
    <row r="55" ht="18" customHeight="1">
      <c r="A55" s="6" t="n">
        <v>43</v>
      </c>
      <c r="B55" s="6" t="inlineStr">
        <is>
          <t>CELL_MODEL_INFO</t>
        </is>
      </c>
      <c r="C55" s="6" t="inlineStr">
        <is>
          <t>Cell Model Info</t>
        </is>
      </c>
      <c r="D55" s="6" t="inlineStr">
        <is>
          <t>240</t>
        </is>
      </c>
      <c r="E55" s="6" t="inlineStr">
        <is>
          <t>Y</t>
        </is>
      </c>
      <c r="F55" s="6" t="inlineStr">
        <is>
          <t>S</t>
        </is>
      </c>
      <c r="G55" s="6" t="inlineStr">
        <is>
          <t>-</t>
        </is>
      </c>
      <c r="H55" s="6" t="inlineStr">
        <is>
          <t>L</t>
        </is>
      </c>
      <c r="I55" s="6" t="inlineStr">
        <is>
          <t>80</t>
        </is>
      </c>
      <c r="J55" s="6" t="inlineStr">
        <is>
          <t>40</t>
        </is>
      </c>
    </row>
    <row r="56" ht="18" customHeight="1">
      <c r="A56" s="6" t="n">
        <v>44</v>
      </c>
      <c r="B56" s="6" t="inlineStr">
        <is>
          <t>CELL_MODEL</t>
        </is>
      </c>
      <c r="C56" s="6" t="inlineStr">
        <is>
          <t>Cell Model</t>
        </is>
      </c>
      <c r="D56" s="6" t="inlineStr">
        <is>
          <t>245</t>
        </is>
      </c>
      <c r="E56" s="6" t="inlineStr">
        <is>
          <t>Y</t>
        </is>
      </c>
      <c r="F56" s="6" t="inlineStr">
        <is>
          <t>S</t>
        </is>
      </c>
      <c r="G56" s="6" t="inlineStr">
        <is>
          <t>-</t>
        </is>
      </c>
      <c r="H56" s="6" t="inlineStr">
        <is>
          <t>L</t>
        </is>
      </c>
      <c r="I56" s="6" t="inlineStr">
        <is>
          <t>80</t>
        </is>
      </c>
      <c r="J56" s="6" t="inlineStr">
        <is>
          <t>40</t>
        </is>
      </c>
    </row>
    <row r="57" ht="18" customHeight="1">
      <c r="A57" s="6" t="n">
        <v>45</v>
      </c>
      <c r="B57" s="6" t="inlineStr">
        <is>
          <t>FORECAST_INFO_PRODUCT_GROUP</t>
        </is>
      </c>
      <c r="C57" s="6" t="inlineStr">
        <is>
          <t>Product Group</t>
        </is>
      </c>
      <c r="D57" s="6" t="inlineStr">
        <is>
          <t>250</t>
        </is>
      </c>
      <c r="E57" s="6" t="inlineStr">
        <is>
          <t>N</t>
        </is>
      </c>
      <c r="F57" s="6" t="inlineStr">
        <is>
          <t>S</t>
        </is>
      </c>
      <c r="G57" s="6" t="inlineStr">
        <is>
          <t>-</t>
        </is>
      </c>
      <c r="H57" s="6" t="inlineStr">
        <is>
          <t>L</t>
        </is>
      </c>
      <c r="I57" s="6" t="inlineStr">
        <is>
          <t>80</t>
        </is>
      </c>
      <c r="J57" s="6" t="inlineStr">
        <is>
          <t>40,82,81,81_UC,81_HM,81_ST,81_HD,81_HG</t>
        </is>
      </c>
    </row>
    <row r="58" ht="18" customHeight="1">
      <c r="A58" s="6" t="n">
        <v>46</v>
      </c>
      <c r="B58" s="6" t="inlineStr">
        <is>
          <t>FORECAST_INFO_ALL</t>
        </is>
      </c>
      <c r="C58" s="6" t="inlineStr">
        <is>
          <t>Spec &amp; Version</t>
        </is>
      </c>
      <c r="D58" s="6" t="inlineStr">
        <is>
          <t>260</t>
        </is>
      </c>
      <c r="E58" s="6" t="inlineStr">
        <is>
          <t>Y</t>
        </is>
      </c>
      <c r="F58" s="6" t="inlineStr">
        <is>
          <t>S</t>
        </is>
      </c>
      <c r="G58" s="6" t="inlineStr">
        <is>
          <t>-</t>
        </is>
      </c>
      <c r="H58" s="6" t="inlineStr">
        <is>
          <t>L</t>
        </is>
      </c>
      <c r="I58" s="6" t="inlineStr">
        <is>
          <t>80</t>
        </is>
      </c>
      <c r="J58" s="6" t="inlineStr">
        <is>
          <t>40</t>
        </is>
      </c>
    </row>
    <row r="59" ht="18" customHeight="1">
      <c r="A59" s="6" t="n">
        <v>47</v>
      </c>
      <c r="B59" s="6" t="inlineStr">
        <is>
          <t>FORECAST_INFO_SPEC</t>
        </is>
      </c>
      <c r="C59" s="6" t="inlineStr">
        <is>
          <t>Model Spec</t>
        </is>
      </c>
      <c r="D59" s="6" t="inlineStr">
        <is>
          <t>261</t>
        </is>
      </c>
      <c r="E59" s="6" t="inlineStr">
        <is>
          <t>Y</t>
        </is>
      </c>
      <c r="F59" s="6" t="inlineStr">
        <is>
          <t>S</t>
        </is>
      </c>
      <c r="G59" s="6" t="inlineStr">
        <is>
          <t>-</t>
        </is>
      </c>
      <c r="H59" s="6" t="inlineStr">
        <is>
          <t>L</t>
        </is>
      </c>
      <c r="I59" s="6" t="inlineStr">
        <is>
          <t>50</t>
        </is>
      </c>
      <c r="J59" s="6" t="inlineStr">
        <is>
          <t>40</t>
        </is>
      </c>
    </row>
    <row r="60" ht="18" customHeight="1">
      <c r="A60" s="6" t="n">
        <v>48</v>
      </c>
      <c r="B60" s="6" t="inlineStr">
        <is>
          <t>FORECAST_INFOR_VERSION</t>
        </is>
      </c>
      <c r="C60" s="6" t="inlineStr">
        <is>
          <t>Model Version</t>
        </is>
      </c>
      <c r="D60" s="6" t="inlineStr">
        <is>
          <t>262</t>
        </is>
      </c>
      <c r="E60" s="6" t="inlineStr">
        <is>
          <t>Y</t>
        </is>
      </c>
      <c r="F60" s="6" t="inlineStr">
        <is>
          <t>S</t>
        </is>
      </c>
      <c r="G60" s="6" t="inlineStr">
        <is>
          <t>-</t>
        </is>
      </c>
      <c r="H60" s="6" t="inlineStr">
        <is>
          <t>L</t>
        </is>
      </c>
      <c r="I60" s="6" t="inlineStr">
        <is>
          <t>50</t>
        </is>
      </c>
      <c r="J60" s="6" t="inlineStr">
        <is>
          <t>40</t>
        </is>
      </c>
    </row>
    <row r="61" ht="18" customHeight="1">
      <c r="A61" s="6" t="n">
        <v>49</v>
      </c>
      <c r="B61" s="6" t="inlineStr">
        <is>
          <t>CELL_MODEL_NICK_NAME</t>
        </is>
      </c>
      <c r="C61" s="6" t="inlineStr">
        <is>
          <t>Cell Model Nick Name</t>
        </is>
      </c>
      <c r="D61" s="6" t="inlineStr">
        <is>
          <t>263</t>
        </is>
      </c>
      <c r="E61" s="6" t="inlineStr">
        <is>
          <t>Y</t>
        </is>
      </c>
      <c r="F61" s="6" t="inlineStr">
        <is>
          <t>S</t>
        </is>
      </c>
      <c r="G61" s="6" t="inlineStr">
        <is>
          <t>-</t>
        </is>
      </c>
      <c r="H61" s="6" t="inlineStr">
        <is>
          <t>L</t>
        </is>
      </c>
      <c r="I61" s="6" t="inlineStr">
        <is>
          <t>50</t>
        </is>
      </c>
      <c r="J61" s="6" t="inlineStr">
        <is>
          <t>40</t>
        </is>
      </c>
    </row>
    <row r="62" ht="18" customHeight="1">
      <c r="A62" s="6" t="n">
        <v>50</v>
      </c>
      <c r="B62" s="6" t="inlineStr">
        <is>
          <t>MDM_PROJECT_NAME</t>
        </is>
      </c>
      <c r="C62" s="6" t="inlineStr">
        <is>
          <t>Project Name</t>
        </is>
      </c>
      <c r="D62" s="6" t="inlineStr">
        <is>
          <t>270</t>
        </is>
      </c>
      <c r="E62" s="6" t="inlineStr">
        <is>
          <t>Y</t>
        </is>
      </c>
      <c r="F62" s="6" t="inlineStr">
        <is>
          <t>S</t>
        </is>
      </c>
      <c r="G62" s="6" t="inlineStr">
        <is>
          <t>-</t>
        </is>
      </c>
      <c r="H62" s="6" t="inlineStr">
        <is>
          <t>L</t>
        </is>
      </c>
      <c r="I62" s="6" t="inlineStr">
        <is>
          <t>80</t>
        </is>
      </c>
      <c r="J62" s="6" t="inlineStr">
        <is>
          <t>40</t>
        </is>
      </c>
    </row>
    <row r="63" ht="18" customHeight="1">
      <c r="A63" s="6" t="n">
        <v>51</v>
      </c>
      <c r="B63" s="6" t="inlineStr">
        <is>
          <t>MIN_CAPACITY</t>
        </is>
      </c>
      <c r="C63" s="6" t="inlineStr">
        <is>
          <t>Min Capacity</t>
        </is>
      </c>
      <c r="D63" s="6" t="inlineStr">
        <is>
          <t>290</t>
        </is>
      </c>
      <c r="E63" s="6" t="inlineStr">
        <is>
          <t>Y</t>
        </is>
      </c>
      <c r="F63" s="6" t="inlineStr">
        <is>
          <t>S</t>
        </is>
      </c>
      <c r="G63" s="6" t="inlineStr">
        <is>
          <t>-</t>
        </is>
      </c>
      <c r="H63" s="6" t="inlineStr">
        <is>
          <t>L</t>
        </is>
      </c>
      <c r="I63" s="6" t="inlineStr">
        <is>
          <t>80</t>
        </is>
      </c>
      <c r="J63" s="6" t="inlineStr">
        <is>
          <t>40</t>
        </is>
      </c>
    </row>
    <row r="64" ht="18" customHeight="1">
      <c r="A64" s="6" t="n">
        <v>52</v>
      </c>
      <c r="B64" s="6" t="inlineStr">
        <is>
          <t>VMI_YN</t>
        </is>
      </c>
      <c r="C64" s="6" t="inlineStr">
        <is>
          <t>VMI</t>
        </is>
      </c>
      <c r="D64" s="6" t="inlineStr">
        <is>
          <t>300</t>
        </is>
      </c>
      <c r="E64" s="6" t="inlineStr">
        <is>
          <t>Y</t>
        </is>
      </c>
      <c r="F64" s="6" t="inlineStr">
        <is>
          <t>S</t>
        </is>
      </c>
      <c r="G64" s="6" t="inlineStr">
        <is>
          <t>FPComboBox / YesOrNo</t>
        </is>
      </c>
      <c r="H64" s="6" t="inlineStr">
        <is>
          <t>L</t>
        </is>
      </c>
      <c r="I64" s="6" t="inlineStr">
        <is>
          <t>45</t>
        </is>
      </c>
      <c r="J64" s="6" t="inlineStr">
        <is>
          <t>40,82,81,81_UC,81_HM,81_ST,81_HD,81_HG</t>
        </is>
      </c>
    </row>
    <row r="65" ht="18" customHeight="1">
      <c r="A65" s="6" t="n">
        <v>53</v>
      </c>
      <c r="B65" s="6" t="inlineStr">
        <is>
          <t>SCP_USE_YN</t>
        </is>
      </c>
      <c r="C65" s="6" t="inlineStr">
        <is>
          <t>SCP Use</t>
        </is>
      </c>
      <c r="D65" s="6" t="inlineStr">
        <is>
          <t>310</t>
        </is>
      </c>
      <c r="E65" s="6" t="inlineStr">
        <is>
          <t>Y</t>
        </is>
      </c>
      <c r="F65" s="6" t="inlineStr">
        <is>
          <t>S</t>
        </is>
      </c>
      <c r="G65" s="6" t="inlineStr">
        <is>
          <t>FPComboBox / YesOrNo</t>
        </is>
      </c>
      <c r="H65" s="6" t="inlineStr">
        <is>
          <t>L</t>
        </is>
      </c>
      <c r="I65" s="6" t="inlineStr">
        <is>
          <t>45</t>
        </is>
      </c>
      <c r="J65" s="6" t="inlineStr">
        <is>
          <t>40</t>
        </is>
      </c>
    </row>
    <row r="66" ht="18" customHeight="1">
      <c r="A66" s="6" t="n">
        <v>54</v>
      </c>
      <c r="B66" s="6" t="inlineStr">
        <is>
          <t>CELL_PER_CAR</t>
        </is>
      </c>
      <c r="C66" s="6" t="inlineStr">
        <is>
          <t>Cell/Car</t>
        </is>
      </c>
      <c r="D66" s="6" t="inlineStr">
        <is>
          <t>360</t>
        </is>
      </c>
      <c r="E66" s="6" t="inlineStr">
        <is>
          <t>Y</t>
        </is>
      </c>
      <c r="F66" s="6" t="inlineStr">
        <is>
          <t>S</t>
        </is>
      </c>
      <c r="G66" s="6" t="inlineStr">
        <is>
          <t>FPNumber</t>
        </is>
      </c>
      <c r="H66" s="6" t="inlineStr">
        <is>
          <t>R</t>
        </is>
      </c>
      <c r="I66" s="6" t="inlineStr">
        <is>
          <t>40</t>
        </is>
      </c>
      <c r="J66" s="6" t="inlineStr">
        <is>
          <t>81,81_UC,81_HM,81_ST,81_HD,81_HG</t>
        </is>
      </c>
    </row>
    <row r="67" ht="18" customHeight="1">
      <c r="A67" s="6" t="n">
        <v>55</v>
      </c>
      <c r="B67" s="6" t="inlineStr">
        <is>
          <t>CELL_PER_MODULE</t>
        </is>
      </c>
      <c r="C67" s="6" t="inlineStr">
        <is>
          <t>Cell/Module</t>
        </is>
      </c>
      <c r="D67" s="6" t="inlineStr">
        <is>
          <t>370</t>
        </is>
      </c>
      <c r="E67" s="6" t="inlineStr">
        <is>
          <t>Y</t>
        </is>
      </c>
      <c r="F67" s="6" t="inlineStr">
        <is>
          <t>S</t>
        </is>
      </c>
      <c r="G67" s="6" t="inlineStr">
        <is>
          <t>FPNumber</t>
        </is>
      </c>
      <c r="H67" s="6" t="inlineStr">
        <is>
          <t>R</t>
        </is>
      </c>
      <c r="I67" s="6" t="inlineStr">
        <is>
          <t>40</t>
        </is>
      </c>
      <c r="J67" s="6" t="inlineStr">
        <is>
          <t>81,81_UC,81_HM,81_ST,81_HD,81_HG</t>
        </is>
      </c>
    </row>
    <row r="68" ht="18" customHeight="1">
      <c r="A68" s="6" t="n">
        <v>56</v>
      </c>
      <c r="B68" s="6" t="inlineStr">
        <is>
          <t>MODULE_PER_CAR</t>
        </is>
      </c>
      <c r="C68" s="6" t="inlineStr">
        <is>
          <t>Module/Car</t>
        </is>
      </c>
      <c r="D68" s="6" t="inlineStr">
        <is>
          <t>380</t>
        </is>
      </c>
      <c r="E68" s="6" t="inlineStr">
        <is>
          <t>Y</t>
        </is>
      </c>
      <c r="F68" s="6" t="inlineStr">
        <is>
          <t>S</t>
        </is>
      </c>
      <c r="G68" s="6" t="inlineStr">
        <is>
          <t>FPNumber</t>
        </is>
      </c>
      <c r="H68" s="6" t="inlineStr">
        <is>
          <t>R</t>
        </is>
      </c>
      <c r="I68" s="6" t="inlineStr">
        <is>
          <t>40</t>
        </is>
      </c>
      <c r="J68" s="6" t="inlineStr">
        <is>
          <t>81,81_UC,81_HM,81_ST,81_HD,81_HG</t>
        </is>
      </c>
    </row>
    <row r="69" ht="18" customHeight="1">
      <c r="A69" s="6" t="n">
        <v>57</v>
      </c>
      <c r="B69" s="6" t="inlineStr">
        <is>
          <t>ENERGE</t>
        </is>
      </c>
      <c r="C69" s="6" t="inlineStr">
        <is>
          <t>Energy(KWH)</t>
        </is>
      </c>
      <c r="D69" s="6" t="inlineStr">
        <is>
          <t>390</t>
        </is>
      </c>
      <c r="E69" s="6" t="inlineStr">
        <is>
          <t>Y</t>
        </is>
      </c>
      <c r="F69" s="6" t="inlineStr">
        <is>
          <t>S</t>
        </is>
      </c>
      <c r="G69" s="6" t="inlineStr">
        <is>
          <t>FPNumber</t>
        </is>
      </c>
      <c r="H69" s="6" t="inlineStr">
        <is>
          <t>R</t>
        </is>
      </c>
      <c r="I69" s="6" t="inlineStr">
        <is>
          <t>40</t>
        </is>
      </c>
      <c r="J69" s="6" t="inlineStr">
        <is>
          <t>82</t>
        </is>
      </c>
    </row>
    <row r="70" ht="18" customHeight="1">
      <c r="A70" s="6" t="n">
        <v>58</v>
      </c>
      <c r="B70" s="6" t="inlineStr">
        <is>
          <t>ENERGE_WH</t>
        </is>
      </c>
      <c r="C70" s="6" t="inlineStr">
        <is>
          <t>Energy(WH)</t>
        </is>
      </c>
      <c r="D70" s="6" t="inlineStr">
        <is>
          <t>390</t>
        </is>
      </c>
      <c r="E70" s="6" t="inlineStr">
        <is>
          <t>Y</t>
        </is>
      </c>
      <c r="F70" s="6" t="inlineStr">
        <is>
          <t>S</t>
        </is>
      </c>
      <c r="G70" s="6" t="inlineStr">
        <is>
          <t>FPNumber</t>
        </is>
      </c>
      <c r="H70" s="6" t="inlineStr">
        <is>
          <t>R</t>
        </is>
      </c>
      <c r="I70" s="6" t="inlineStr">
        <is>
          <t>40</t>
        </is>
      </c>
      <c r="J70" s="6" t="inlineStr">
        <is>
          <t>40</t>
        </is>
      </c>
    </row>
    <row r="71" ht="18" customHeight="1">
      <c r="A71" s="6" t="n">
        <v>59</v>
      </c>
      <c r="B71" s="6" t="inlineStr">
        <is>
          <t>CELL_QUANTITY</t>
        </is>
      </c>
      <c r="C71" s="6" t="inlineStr">
        <is>
          <t>Cell Quantity</t>
        </is>
      </c>
      <c r="D71" s="6" t="inlineStr">
        <is>
          <t>391</t>
        </is>
      </c>
      <c r="E71" s="6" t="inlineStr">
        <is>
          <t>Y</t>
        </is>
      </c>
      <c r="F71" s="6" t="inlineStr">
        <is>
          <t>S</t>
        </is>
      </c>
      <c r="G71" s="6" t="inlineStr">
        <is>
          <t>FPText</t>
        </is>
      </c>
      <c r="H71" s="6" t="inlineStr">
        <is>
          <t>R</t>
        </is>
      </c>
      <c r="I71" s="6" t="inlineStr">
        <is>
          <t>40</t>
        </is>
      </c>
      <c r="J71" s="6" t="inlineStr">
        <is>
          <t>82</t>
        </is>
      </c>
    </row>
    <row r="72" ht="18" customHeight="1">
      <c r="A72" s="6" t="n">
        <v>60</v>
      </c>
      <c r="B72" s="6" t="inlineStr">
        <is>
          <t>DISTRIBUTION_CHANNEL</t>
        </is>
      </c>
      <c r="C72" s="6" t="inlineStr">
        <is>
          <t>Distribution Channel</t>
        </is>
      </c>
      <c r="D72" s="6" t="inlineStr">
        <is>
          <t>392</t>
        </is>
      </c>
      <c r="E72" s="6" t="inlineStr">
        <is>
          <t>Y</t>
        </is>
      </c>
      <c r="F72" s="6" t="inlineStr">
        <is>
          <t>S</t>
        </is>
      </c>
      <c r="G72" s="6" t="inlineStr">
        <is>
          <t>-</t>
        </is>
      </c>
      <c r="H72" s="6" t="inlineStr">
        <is>
          <t>L</t>
        </is>
      </c>
      <c r="I72" s="6" t="inlineStr">
        <is>
          <t>120</t>
        </is>
      </c>
      <c r="J72" s="6" t="inlineStr">
        <is>
          <t>82</t>
        </is>
      </c>
    </row>
    <row r="73" ht="18" customHeight="1">
      <c r="A73" s="6" t="n">
        <v>61</v>
      </c>
      <c r="B73" s="6" t="inlineStr">
        <is>
          <t>CELL_NAME</t>
        </is>
      </c>
      <c r="C73" s="6" t="inlineStr">
        <is>
          <t>Cell Name</t>
        </is>
      </c>
      <c r="D73" s="6" t="inlineStr">
        <is>
          <t>393</t>
        </is>
      </c>
      <c r="E73" s="6" t="inlineStr">
        <is>
          <t>Y</t>
        </is>
      </c>
      <c r="F73" s="6" t="inlineStr">
        <is>
          <t>S</t>
        </is>
      </c>
      <c r="G73" s="6" t="inlineStr">
        <is>
          <t>-</t>
        </is>
      </c>
      <c r="H73" s="6" t="inlineStr">
        <is>
          <t>L</t>
        </is>
      </c>
      <c r="I73" s="6" t="inlineStr">
        <is>
          <t>80</t>
        </is>
      </c>
      <c r="J73" s="6" t="inlineStr">
        <is>
          <t>82</t>
        </is>
      </c>
    </row>
    <row r="74" ht="18" customHeight="1">
      <c r="A74" s="6" t="n">
        <v>62</v>
      </c>
      <c r="B74" s="6" t="inlineStr">
        <is>
          <t>SHIPMENT_SITE</t>
        </is>
      </c>
      <c r="C74" s="6" t="inlineStr">
        <is>
          <t>Shipment Site</t>
        </is>
      </c>
      <c r="D74" s="6" t="inlineStr">
        <is>
          <t>394</t>
        </is>
      </c>
      <c r="E74" s="6" t="inlineStr">
        <is>
          <t>Y</t>
        </is>
      </c>
      <c r="F74" s="6" t="inlineStr">
        <is>
          <t>S</t>
        </is>
      </c>
      <c r="G74" s="6" t="inlineStr">
        <is>
          <t>-</t>
        </is>
      </c>
      <c r="H74" s="6" t="inlineStr">
        <is>
          <t>L</t>
        </is>
      </c>
      <c r="I74" s="6" t="inlineStr">
        <is>
          <t>80</t>
        </is>
      </c>
      <c r="J74" s="6" t="inlineStr">
        <is>
          <t>82</t>
        </is>
      </c>
    </row>
    <row r="75" ht="18" customHeight="1">
      <c r="A75" s="6" t="n">
        <v>63</v>
      </c>
      <c r="B75" s="6" t="inlineStr">
        <is>
          <t>SALES_PLAN_ADJUST_YN</t>
        </is>
      </c>
      <c r="C75" s="6" t="inlineStr">
        <is>
          <t>SP</t>
        </is>
      </c>
      <c r="D75" s="6" t="inlineStr">
        <is>
          <t>400</t>
        </is>
      </c>
      <c r="E75" s="6" t="inlineStr">
        <is>
          <t>N</t>
        </is>
      </c>
      <c r="F75" s="6" t="inlineStr">
        <is>
          <t>S</t>
        </is>
      </c>
      <c r="G75" s="6" t="inlineStr">
        <is>
          <t>-</t>
        </is>
      </c>
      <c r="H75" s="6" t="inlineStr">
        <is>
          <t>L</t>
        </is>
      </c>
      <c r="I75" s="6" t="inlineStr">
        <is>
          <t>0</t>
        </is>
      </c>
      <c r="J75" s="6" t="inlineStr">
        <is>
          <t>40,82,81,81_UC,81_HM,81_ST,81_HD,81_HG</t>
        </is>
      </c>
    </row>
    <row r="76" ht="18" customHeight="1">
      <c r="A76" s="6" t="n">
        <v>64</v>
      </c>
      <c r="B76" s="6" t="inlineStr">
        <is>
          <t>MEASURE</t>
        </is>
      </c>
      <c r="C76" s="6" t="inlineStr">
        <is>
          <t>Measure*</t>
        </is>
      </c>
      <c r="D76" s="6" t="inlineStr">
        <is>
          <t>500</t>
        </is>
      </c>
      <c r="E76" s="6" t="inlineStr">
        <is>
          <t>N</t>
        </is>
      </c>
      <c r="F76" s="6" t="inlineStr">
        <is>
          <t>S</t>
        </is>
      </c>
      <c r="G76" s="6" t="inlineStr">
        <is>
          <t>FPComboBox / Measure</t>
        </is>
      </c>
      <c r="H76" s="6" t="inlineStr">
        <is>
          <t>L</t>
        </is>
      </c>
      <c r="I76" s="6" t="inlineStr">
        <is>
          <t>100</t>
        </is>
      </c>
      <c r="J76" s="6" t="inlineStr">
        <is>
          <t>40,82,81,81_UC,81_HM,81_ST,81_HD,81_HG</t>
        </is>
      </c>
    </row>
    <row r="77" ht="18" customHeight="1">
      <c r="A77" s="6" t="n">
        <v>65</v>
      </c>
      <c r="B77" s="6" t="inlineStr">
        <is>
          <t>DMS_SALES</t>
        </is>
      </c>
      <c r="C77" s="6" t="inlineStr">
        <is>
          <t>Sold-To Cust.(Report)</t>
        </is>
      </c>
      <c r="D77" s="6" t="inlineStr">
        <is>
          <t>510</t>
        </is>
      </c>
      <c r="E77" s="6" t="inlineStr">
        <is>
          <t>Y</t>
        </is>
      </c>
      <c r="F77" s="6" t="inlineStr">
        <is>
          <t>S</t>
        </is>
      </c>
      <c r="G77" s="6" t="inlineStr">
        <is>
          <t>-</t>
        </is>
      </c>
      <c r="H77" s="6" t="inlineStr">
        <is>
          <t>L</t>
        </is>
      </c>
      <c r="I77" s="6" t="inlineStr">
        <is>
          <t>80</t>
        </is>
      </c>
      <c r="J77" s="6" t="inlineStr">
        <is>
          <t>40</t>
        </is>
      </c>
    </row>
    <row r="78" ht="18" customHeight="1">
      <c r="A78" s="6" t="n">
        <v>66</v>
      </c>
      <c r="B78" s="6" t="inlineStr">
        <is>
          <t>DMS_CUSTOMER</t>
        </is>
      </c>
      <c r="C78" s="6" t="inlineStr">
        <is>
          <t>End Cust.(Report)</t>
        </is>
      </c>
      <c r="D78" s="6" t="inlineStr">
        <is>
          <t>520</t>
        </is>
      </c>
      <c r="E78" s="6" t="inlineStr">
        <is>
          <t>Y</t>
        </is>
      </c>
      <c r="F78" s="6" t="inlineStr">
        <is>
          <t>S</t>
        </is>
      </c>
      <c r="G78" s="6" t="inlineStr">
        <is>
          <t>-</t>
        </is>
      </c>
      <c r="H78" s="6" t="inlineStr">
        <is>
          <t>L</t>
        </is>
      </c>
      <c r="I78" s="6" t="inlineStr">
        <is>
          <t>70</t>
        </is>
      </c>
      <c r="J78" s="6" t="inlineStr">
        <is>
          <t>40</t>
        </is>
      </c>
    </row>
    <row r="79">
      <c r="A79" s="2" t="inlineStr">
        <is>
          <t>※ INPUT_TP 실측 전부 'S'(표시전용) — TO-BE 구현 시 편집 컬럼(DEPT_ID(40)/END_CUSTOMER/END_CUSTOMER40/SCM_SITE_ID/PLANT_SITE_ID(81)/PROJECT_CODE(모달)/ITEM_ID/TEXT/TEXT4082/MEASURE(40)/CURRENCY/DOM_EXP·FCST_TYPE·INCOTERMS(Catch_Up)/CELL_PROD_SITE_ID)은 AS-IS 편집규칙 기준 'IM' 전환 + 잠금은 editLock 처리 필요.</t>
        </is>
      </c>
    </row>
    <row r="80">
      <c r="A80" s="2" t="inlineStr">
        <is>
          <t>※ DIVISION_ID 콤마 토큰 포함 시만 해당 사업부 노출 (hook #92). AS-IS 코드 참조 컬럼 73종 중 SHEET_COLUMNS 미등록분(TEAM_ID/TEAM_NAME_KO/BIZ_TYPE/UPPER_DEPT_ID/SORT_ORDER_NO/NOTATION/ACTION 등)은 숨김 메타·내부 컬럼.</t>
        </is>
      </c>
    </row>
    <row r="82" ht="20" customHeight="1">
      <c r="A82" s="4" t="inlineStr">
        <is>
          <t>동적 생성 컬럼 (D_/W_/M_) — DMF0021_GET_SPREAD_TITLE + 표시·잠금 규칙 (AS-IS 실측)</t>
        </is>
      </c>
    </row>
    <row r="83">
      <c r="A83" s="5" t="inlineStr">
        <is>
          <t>구분</t>
        </is>
      </c>
      <c r="B83" s="5" t="inlineStr">
        <is>
          <t>규칙</t>
        </is>
      </c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</row>
    <row r="84" ht="75" customHeight="1">
      <c r="A84" s="6" t="inlineStr">
        <is>
          <t>생성</t>
        </is>
      </c>
      <c r="B84" s="6" t="inlineStr">
        <is>
          <t>조회 기간 × 버킷 × 사업부 × 사용자(TitleSet) 로 SP 가 3단 헤더 반환 — 0행 Large(월) span / 1행 Small(주) span / 2행 일+요일(DAY_CODE). 마스터 컬럼은 3행 통 span. 그룹별 "SUM" 헤더 5개. B_ 포함 컬럼 항상 숨김</t>
        </is>
      </c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</row>
    <row r="85" ht="60" customHeight="1">
      <c r="A85" s="6" t="inlineStr">
        <is>
          <t>표시</t>
        </is>
      </c>
      <c r="B85" s="6" t="inlineStr">
        <is>
          <t>Daily = D_+W_ (M_·W_ Sum 은 chkSum) / Weekly = W_ (M_ Sum 은 chkSum) / Monthly = M_ 만. M_ 헤더 더블클릭 = 하위 W_(+D_) 접기/펼치기, W_ 헤더 더블클릭(Daily) = D_ 토글</t>
        </is>
      </c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</row>
    <row r="86" ht="45" customHeight="1">
      <c r="A86" s="6" t="inlineStr">
        <is>
          <t>헤더 색</t>
        </is>
      </c>
      <c r="B86" s="6" t="inlineStr">
        <is>
          <t>당월 M_ / 당주 W_ 헤더 = Green Bold (chkColor OFF 기본). SAT=Blue / SUN=Red (Daily 3행째). 당주 컬럼 좌측 Green Bevel 3px</t>
        </is>
      </c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</row>
    <row r="87" ht="90" customHeight="1">
      <c r="A87" s="6" t="inlineStr">
        <is>
          <t>과거 잠금</t>
        </is>
      </c>
      <c r="B87" s="6" t="inlineStr">
        <is>
          <t>편집 시작: M_ = 40 사업부 당월부터 / 그 외 익월(M+1)부터. W_ = 당주부터. Catch_Up(40) = M+3 이후만. RTF_SYS_RP + Monthly = 당월 잠금. 마지막 컬럼이 과거면 행 전체 편집 불가. D_ = 항상 잠금. 버킷 교차 잠금(Monthly↔W_ / Weekly↔M_)</t>
        </is>
      </c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</row>
    <row r="88" ht="45" customHeight="1">
      <c r="A88" s="6" t="inlineStr">
        <is>
          <t>편집 마킹</t>
        </is>
      </c>
      <c r="B88" s="6" t="inlineStr">
        <is>
          <t>변경 셀 = ForeColor Red (Dsdm_Changed) — 저장 시 Red 셀만 수집. 40 사업부 Team 셀 변경 시 해당 버킷 숫자컬럼 전체 Red 간주</t>
        </is>
      </c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</row>
    <row r="89" ht="60" customHeight="1">
      <c r="A89" s="6" t="inlineStr">
        <is>
          <t>숫자 포맷</t>
        </is>
      </c>
      <c r="B89" s="6" t="inlineStr">
        <is>
          <t>행별 NOTATION (INTEGER/POINT/POINT3 — 82 메저별 표기 E20231128-000738) 13룰 + 편집 이탈: RTF_SYS_RP=정수(소수 절삭·음수 차단, RMA 제외) / SalesAmt_LOC=소수 3자리</t>
        </is>
      </c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</row>
    <row r="90" ht="30" customHeight="1">
      <c r="A90" s="6" t="inlineStr">
        <is>
          <t>Footer</t>
        </is>
      </c>
      <c r="B90" s="6" t="inlineStr">
        <is>
          <t>ColumnFooter "Sum" — D_/W_/M_ 컬럼 SumIgnoreHidden, 포맷 {0:#,##0.###}, LightGray+Bevel</t>
        </is>
      </c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</row>
    <row r="91" ht="45" customHeight="1">
      <c r="A91" s="6" t="inlineStr">
        <is>
          <t>프리즈/머지</t>
        </is>
      </c>
      <c r="B91" s="6" t="inlineStr">
        <is>
          <t>Freeze = MEASURE+1 (좌측 키컬럼 고정). SmartColMerge 세로 머지 + TopChange 스크롤 시 재적용 (sticky)</t>
        </is>
      </c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</row>
    <row r="93" ht="20" customHeight="1">
      <c r="A93" s="4" t="inlineStr">
        <is>
          <t>그리드 셀 콤보 + Cascade (AS-IS ComboSelChange 실측 — 콤보 대상 12컬럼 / 모달 셀 2종)</t>
        </is>
      </c>
    </row>
    <row r="94">
      <c r="A94" s="5" t="inlineStr">
        <is>
          <t>컬럼</t>
        </is>
      </c>
      <c r="B94" s="5" t="inlineStr">
        <is>
          <t>콤보/모달 원천</t>
        </is>
      </c>
      <c r="C94" s="5" t="inlineStr">
        <is>
          <t>Cascade</t>
        </is>
      </c>
      <c r="D94" s="5" t="inlineStr"/>
      <c r="E94" s="5" t="inlineStr"/>
      <c r="F94" s="5" t="inlineStr"/>
      <c r="G94" s="5" t="inlineStr"/>
      <c r="H94" s="5" t="inlineStr"/>
      <c r="I94" s="5" t="inlineStr"/>
      <c r="J94" s="5" t="inlineStr"/>
    </row>
    <row r="95" ht="45" customHeight="1">
      <c r="A95" s="6" t="inlineStr">
        <is>
          <t>DEPT_ID (Team)</t>
        </is>
      </c>
      <c r="B95" s="6" t="inlineStr">
        <is>
          <t>UserTeamByDivisionAuth (권한)</t>
        </is>
      </c>
      <c r="C95" s="6" t="inlineStr">
        <is>
          <t>40 사업부만 편집. Catch_Up 전환 시 잠금+클리어</t>
        </is>
      </c>
      <c r="D95" s="6" t="inlineStr"/>
      <c r="E95" s="6" t="inlineStr"/>
      <c r="F95" s="6" t="inlineStr"/>
      <c r="G95" s="6" t="inlineStr"/>
      <c r="H95" s="6" t="inlineStr"/>
      <c r="I95" s="6" t="inlineStr"/>
      <c r="J95" s="6" t="inlineStr"/>
    </row>
    <row r="96" ht="60" customHeight="1">
      <c r="A96" s="6" t="inlineStr">
        <is>
          <t>END_CUSTOMER / END_CUSTOMER40</t>
        </is>
      </c>
      <c r="B96" s="6" t="inlineStr">
        <is>
          <t>UserEndCustomerByDivisionDeptAuth / EndCustomerByDivision40</t>
        </is>
      </c>
      <c r="C96" s="6" t="inlineStr">
        <is>
          <t>DIVISION 변경 시 재바인딩 + 하위 8컬럼 계단 clear (DEPT/END_CUSTOMER/SITE/PROJECT_CODE·NAME/ITEM/TEXT/ITEM_CLASS_NAME)</t>
        </is>
      </c>
      <c r="D96" s="6" t="inlineStr"/>
      <c r="E96" s="6" t="inlineStr"/>
      <c r="F96" s="6" t="inlineStr"/>
      <c r="G96" s="6" t="inlineStr"/>
      <c r="H96" s="6" t="inlineStr"/>
      <c r="I96" s="6" t="inlineStr"/>
      <c r="J96" s="6" t="inlineStr"/>
    </row>
    <row r="97" ht="30" customHeight="1">
      <c r="A97" s="6" t="inlineStr">
        <is>
          <t>SCM_SITE_ID</t>
        </is>
      </c>
      <c r="B97" s="6" t="inlineStr">
        <is>
          <t>UserSiteByEndCustomer(Auth)</t>
        </is>
      </c>
      <c r="C97" s="6" t="inlineStr">
        <is>
          <t>END_CUSTOMER 선택 종속 — 변경 시 하위 5~6컬럼 clear</t>
        </is>
      </c>
      <c r="D97" s="6" t="inlineStr"/>
      <c r="E97" s="6" t="inlineStr"/>
      <c r="F97" s="6" t="inlineStr"/>
      <c r="G97" s="6" t="inlineStr"/>
      <c r="H97" s="6" t="inlineStr"/>
      <c r="I97" s="6" t="inlineStr"/>
      <c r="J97" s="6" t="inlineStr"/>
    </row>
    <row r="98" ht="30" customHeight="1">
      <c r="A98" s="6" t="inlineStr">
        <is>
          <t>PLANT_SITE_ID</t>
        </is>
      </c>
      <c r="B98" s="6" t="inlineStr">
        <is>
          <t>UserPlantSiteByDivision</t>
        </is>
      </c>
      <c r="C98" s="6" t="inlineStr">
        <is>
          <t>81 계열만 unlock</t>
        </is>
      </c>
      <c r="D98" s="6" t="inlineStr"/>
      <c r="E98" s="6" t="inlineStr"/>
      <c r="F98" s="6" t="inlineStr"/>
      <c r="G98" s="6" t="inlineStr"/>
      <c r="H98" s="6" t="inlineStr"/>
      <c r="I98" s="6" t="inlineStr"/>
      <c r="J98" s="6" t="inlineStr"/>
    </row>
    <row r="99" ht="45" customHeight="1">
      <c r="A99" s="6" t="inlineStr">
        <is>
          <t>ITEM_ID (Model)</t>
        </is>
      </c>
      <c r="B99" s="6" t="inlineStr">
        <is>
          <t>SALES_PLAN_ITEM_ID (GUBUN='82'/'81'/'40' 필터) / 40+Catch_Up = 모달(ItemByDivisionModal)</t>
        </is>
      </c>
      <c r="C99" s="6" t="inlineStr">
        <is>
          <t>선택 시 ITEM_CLASS_NAME 자동세팅 + CELL_PROD_SITE_ID 재바인딩 (붙여넣기 포함)</t>
        </is>
      </c>
      <c r="D99" s="6" t="inlineStr"/>
      <c r="E99" s="6" t="inlineStr"/>
      <c r="F99" s="6" t="inlineStr"/>
      <c r="G99" s="6" t="inlineStr"/>
      <c r="H99" s="6" t="inlineStr"/>
      <c r="I99" s="6" t="inlineStr"/>
      <c r="J99" s="6" t="inlineStr"/>
    </row>
    <row r="100" ht="45" customHeight="1">
      <c r="A100" s="6" t="inlineStr">
        <is>
          <t>CELL_PROD_SITE_ID</t>
        </is>
      </c>
      <c r="B100" s="6" t="inlineStr">
        <is>
          <t>Data.Common(CELL_PROD_SITE_ID, division, itemId) — ⚠ CMBO 'CELL_PROD_SITE_ID' 미등록 (구현 시 등록 필요)</t>
        </is>
      </c>
      <c r="C100" s="6" t="inlineStr">
        <is>
          <t>ITEM_ID 변경/붙여넣기 시 행별 재바인딩 [PJ2025-50017]</t>
        </is>
      </c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</row>
    <row r="101" ht="90" customHeight="1">
      <c r="A101" s="6" t="inlineStr">
        <is>
          <t>MEASURE</t>
        </is>
      </c>
      <c r="B101" s="6" t="inlineStr">
        <is>
          <t>GET_SALES_PLAN_MEASUREINFO (기본 SalesAmt_LOC)</t>
        </is>
      </c>
      <c r="C101" s="6" t="inlineStr">
        <is>
          <t>40 전용 편집. Catch_Up ↔ SalesAmt_LOC 전환 시 대규모 cascade (ITEM 팝업셀 전환/DomExp·Incoterms·FcstType 개방·잠금/Team 잠금·해제/기간셀 재잠금/기존 입력 전체 초기화)</t>
        </is>
      </c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</row>
    <row r="102" ht="30" customHeight="1">
      <c r="A102" s="6" t="inlineStr">
        <is>
          <t>CURRENCY</t>
        </is>
      </c>
      <c r="B102" s="6" t="inlineStr">
        <is>
          <t>CURRENCY_LIST</t>
        </is>
      </c>
      <c r="C102" s="6" t="inlineStr">
        <is>
          <t>-</t>
        </is>
      </c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</row>
    <row r="103" ht="75" customHeight="1">
      <c r="A103" s="6" t="inlineStr">
        <is>
          <t>DOM_EXP / INCOTERMS / FCST_TYPE</t>
        </is>
      </c>
      <c r="B103" s="6" t="inlineStr">
        <is>
          <t>DM_CUSTOMS_HANDBOOK / AS_INCOTERMS(div,site) / FCST_TYPE(ETC 제외) — UP_FX_GetCommonDataList_DM</t>
        </is>
      </c>
      <c r="C103" s="6" t="inlineStr">
        <is>
          <t>Catch_Up 시만 콤보 편집. SalesAmt_LOC 복귀 시 FCST_TYPE='ETC' 고정(Text 전환)+잠금</t>
        </is>
      </c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</row>
    <row r="104" ht="45" customHeight="1">
      <c r="A104" s="6" t="inlineStr">
        <is>
          <t>PROJECT_CODE</t>
        </is>
      </c>
      <c r="B104" s="6" t="inlineStr">
        <is>
          <t>모달 셀 (cellTypeImage 아이콘) — ProjectByDivisionModal</t>
        </is>
      </c>
      <c r="C104" s="6" t="inlineStr">
        <is>
          <t>신규 I 행만 더블클릭. OK 시 5필드 자동세팅 + Model 클리어</t>
        </is>
      </c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</row>
    <row r="106" ht="20" customHeight="1">
      <c r="A106" s="4" t="inlineStr">
        <is>
          <t>Measure 메타 — SCM_MST_SHEET_MEASURE 'Sales Plan' 실측 31건 (전수)</t>
        </is>
      </c>
    </row>
    <row r="107">
      <c r="A107" s="5" t="inlineStr">
        <is>
          <t>No</t>
        </is>
      </c>
      <c r="B107" s="5" t="inlineStr">
        <is>
          <t>COLUMN_NAME</t>
        </is>
      </c>
      <c r="C107" s="5" t="inlineStr">
        <is>
          <t>라벨</t>
        </is>
      </c>
      <c r="D107" s="5" t="inlineStr">
        <is>
          <t>순서</t>
        </is>
      </c>
      <c r="E107" s="5" t="inlineStr">
        <is>
          <t>기본표시</t>
        </is>
      </c>
      <c r="F107" s="5" t="inlineStr">
        <is>
          <t>선택가능</t>
        </is>
      </c>
      <c r="G107" s="5" t="inlineStr">
        <is>
          <t>DIVISION_ID</t>
        </is>
      </c>
      <c r="H107" s="5" t="inlineStr"/>
      <c r="I107" s="5" t="inlineStr"/>
      <c r="J107" s="5" t="inlineStr">
        <is>
          <t>비고</t>
        </is>
      </c>
    </row>
    <row r="108" ht="18" customHeight="1">
      <c r="A108" s="6" t="n">
        <v>1</v>
      </c>
      <c r="B108" s="6" t="inlineStr">
        <is>
          <t>MKT_FCST</t>
        </is>
      </c>
      <c r="C108" s="6" t="inlineStr">
        <is>
          <t>MKT FCST[P+P]</t>
        </is>
      </c>
      <c r="D108" s="6" t="inlineStr">
        <is>
          <t>10</t>
        </is>
      </c>
      <c r="E108" s="6" t="inlineStr">
        <is>
          <t>N</t>
        </is>
      </c>
      <c r="F108" s="6" t="inlineStr">
        <is>
          <t>Y</t>
        </is>
      </c>
      <c r="G108" s="6" t="inlineStr">
        <is>
          <t>40,82,81,81_UC,81_HM,81_ST,81_HD,81_HG</t>
        </is>
      </c>
      <c r="H108" s="6" t="inlineStr"/>
      <c r="I108" s="6" t="inlineStr"/>
      <c r="J108" s="6" t="inlineStr"/>
    </row>
    <row r="109" ht="18" customHeight="1">
      <c r="A109" s="6" t="n">
        <v>2</v>
      </c>
      <c r="B109" s="6" t="inlineStr">
        <is>
          <t>MKT_FCST_RP</t>
        </is>
      </c>
      <c r="C109" s="6" t="inlineStr">
        <is>
          <t>MKT FCST[R+P]</t>
        </is>
      </c>
      <c r="D109" s="6" t="inlineStr">
        <is>
          <t>20</t>
        </is>
      </c>
      <c r="E109" s="6" t="inlineStr">
        <is>
          <t>Y</t>
        </is>
      </c>
      <c r="F109" s="6" t="inlineStr">
        <is>
          <t>Y</t>
        </is>
      </c>
      <c r="G109" s="6" t="inlineStr">
        <is>
          <t>40,82,81,81_UC,81_HM,81_ST,81_HD,81_HG</t>
        </is>
      </c>
      <c r="H109" s="6" t="inlineStr"/>
      <c r="I109" s="6" t="inlineStr"/>
      <c r="J109" s="6" t="inlineStr"/>
    </row>
    <row r="110" ht="18" customHeight="1">
      <c r="A110" s="6" t="n">
        <v>3</v>
      </c>
      <c r="B110" s="6" t="inlineStr">
        <is>
          <t>MKT_FCST_RP_CAR</t>
        </is>
      </c>
      <c r="C110" s="6" t="inlineStr">
        <is>
          <t>MKT FCST[R+P] CAR</t>
        </is>
      </c>
      <c r="D110" s="6" t="inlineStr">
        <is>
          <t>21</t>
        </is>
      </c>
      <c r="E110" s="6" t="inlineStr">
        <is>
          <t>N</t>
        </is>
      </c>
      <c r="F110" s="6" t="inlineStr">
        <is>
          <t>Y</t>
        </is>
      </c>
      <c r="G110" s="6" t="inlineStr">
        <is>
          <t>81,81_UC,81_HM,81_ST,81_HD,81_HG</t>
        </is>
      </c>
      <c r="H110" s="6" t="inlineStr"/>
      <c r="I110" s="6" t="inlineStr"/>
      <c r="J110" s="6" t="inlineStr"/>
    </row>
    <row r="111" ht="18" customHeight="1">
      <c r="A111" s="6" t="n">
        <v>4</v>
      </c>
      <c r="B111" s="6" t="inlineStr">
        <is>
          <t>MKT_FCST_RP_CELL</t>
        </is>
      </c>
      <c r="C111" s="6" t="inlineStr">
        <is>
          <t>MKT FCST[R+P] CELL</t>
        </is>
      </c>
      <c r="D111" s="6" t="inlineStr">
        <is>
          <t>22</t>
        </is>
      </c>
      <c r="E111" s="6" t="inlineStr">
        <is>
          <t>N</t>
        </is>
      </c>
      <c r="F111" s="6" t="inlineStr">
        <is>
          <t>Y</t>
        </is>
      </c>
      <c r="G111" s="6" t="inlineStr">
        <is>
          <t>82,81,81_UC,81_HM,81_ST,81_HD,81_HG</t>
        </is>
      </c>
      <c r="H111" s="6" t="inlineStr"/>
      <c r="I111" s="6" t="inlineStr"/>
      <c r="J111" s="6" t="inlineStr"/>
    </row>
    <row r="112" ht="18" customHeight="1">
      <c r="A112" s="6" t="n">
        <v>5</v>
      </c>
      <c r="B112" s="6" t="inlineStr">
        <is>
          <t>MKT_FCST_ENERGY</t>
        </is>
      </c>
      <c r="C112" s="6" t="inlineStr">
        <is>
          <t>MKT FCST[R+P] Energy(MWH)</t>
        </is>
      </c>
      <c r="D112" s="6" t="inlineStr">
        <is>
          <t>24</t>
        </is>
      </c>
      <c r="E112" s="6" t="inlineStr">
        <is>
          <t>N</t>
        </is>
      </c>
      <c r="F112" s="6" t="inlineStr">
        <is>
          <t>Y</t>
        </is>
      </c>
      <c r="G112" s="6" t="inlineStr">
        <is>
          <t>82,40</t>
        </is>
      </c>
      <c r="H112" s="6" t="inlineStr"/>
      <c r="I112" s="6" t="inlineStr"/>
      <c r="J112" s="6" t="inlineStr"/>
    </row>
    <row r="113" ht="18" customHeight="1">
      <c r="A113" s="6" t="n">
        <v>6</v>
      </c>
      <c r="B113" s="6" t="inlineStr">
        <is>
          <t>RTF</t>
        </is>
      </c>
      <c r="C113" s="6" t="inlineStr">
        <is>
          <t>RTF_MKT[R+P]</t>
        </is>
      </c>
      <c r="D113" s="6" t="inlineStr">
        <is>
          <t>30</t>
        </is>
      </c>
      <c r="E113" s="6" t="inlineStr">
        <is>
          <t>Y</t>
        </is>
      </c>
      <c r="F113" s="6" t="inlineStr">
        <is>
          <t>Y</t>
        </is>
      </c>
      <c r="G113" s="6" t="inlineStr">
        <is>
          <t>82</t>
        </is>
      </c>
      <c r="H113" s="6" t="inlineStr"/>
      <c r="I113" s="6" t="inlineStr"/>
      <c r="J113" s="6" t="inlineStr"/>
    </row>
    <row r="114" ht="18" customHeight="1">
      <c r="A114" s="6" t="n">
        <v>7</v>
      </c>
      <c r="B114" s="6" t="inlineStr">
        <is>
          <t>RTF_RP_CAR</t>
        </is>
      </c>
      <c r="C114" s="6" t="inlineStr">
        <is>
          <t>RTF[R+P] CAR</t>
        </is>
      </c>
      <c r="D114" s="6" t="inlineStr">
        <is>
          <t>31</t>
        </is>
      </c>
      <c r="E114" s="6" t="inlineStr">
        <is>
          <t>N</t>
        </is>
      </c>
      <c r="F114" s="6" t="inlineStr">
        <is>
          <t>Y</t>
        </is>
      </c>
      <c r="G114" s="6" t="inlineStr">
        <is>
          <t>81,81_UC,81_HM,81_ST,81_HD,81_HG</t>
        </is>
      </c>
      <c r="H114" s="6" t="inlineStr"/>
      <c r="I114" s="6" t="inlineStr"/>
      <c r="J114" s="6" t="inlineStr"/>
    </row>
    <row r="115" ht="18" customHeight="1">
      <c r="A115" s="6" t="n">
        <v>8</v>
      </c>
      <c r="B115" s="6" t="inlineStr">
        <is>
          <t>RTF_RP_CELL</t>
        </is>
      </c>
      <c r="C115" s="6" t="inlineStr">
        <is>
          <t>RTF_MKT[R+P] CELL</t>
        </is>
      </c>
      <c r="D115" s="6" t="inlineStr">
        <is>
          <t>32</t>
        </is>
      </c>
      <c r="E115" s="6" t="inlineStr">
        <is>
          <t>N</t>
        </is>
      </c>
      <c r="F115" s="6" t="inlineStr">
        <is>
          <t>Y</t>
        </is>
      </c>
      <c r="G115" s="6" t="inlineStr">
        <is>
          <t>82</t>
        </is>
      </c>
      <c r="H115" s="6" t="inlineStr"/>
      <c r="I115" s="6" t="inlineStr"/>
      <c r="J115" s="6" t="inlineStr"/>
    </row>
    <row r="116" ht="18" customHeight="1">
      <c r="A116" s="6" t="n">
        <v>9</v>
      </c>
      <c r="B116" s="6" t="inlineStr">
        <is>
          <t>RTF_SYS_RP</t>
        </is>
      </c>
      <c r="C116" s="6" t="inlineStr">
        <is>
          <t>RTF[R+P]</t>
        </is>
      </c>
      <c r="D116" s="6" t="inlineStr">
        <is>
          <t>35</t>
        </is>
      </c>
      <c r="E116" s="6" t="inlineStr">
        <is>
          <t>Y</t>
        </is>
      </c>
      <c r="F116" s="6" t="inlineStr">
        <is>
          <t>Y</t>
        </is>
      </c>
      <c r="G116" s="6" t="inlineStr">
        <is>
          <t>40,82,81,81_UC,81_HM,81_ST,81_HD,81_HG</t>
        </is>
      </c>
      <c r="H116" s="6" t="inlineStr"/>
      <c r="I116" s="6" t="inlineStr"/>
      <c r="J116" s="6" t="inlineStr">
        <is>
          <t>편집 (EDIT_AUTH_RTF_SYS_RP, 당월 잠금)</t>
        </is>
      </c>
    </row>
    <row r="117" ht="18" customHeight="1">
      <c r="A117" s="6" t="n">
        <v>10</v>
      </c>
      <c r="B117" s="6" t="inlineStr">
        <is>
          <t>RTF_SYS_RP_CAR</t>
        </is>
      </c>
      <c r="C117" s="6" t="inlineStr">
        <is>
          <t>RTF[R+P] CAR</t>
        </is>
      </c>
      <c r="D117" s="6" t="inlineStr">
        <is>
          <t>36</t>
        </is>
      </c>
      <c r="E117" s="6" t="inlineStr">
        <is>
          <t>N</t>
        </is>
      </c>
      <c r="F117" s="6" t="inlineStr">
        <is>
          <t>Y</t>
        </is>
      </c>
      <c r="G117" s="6" t="inlineStr">
        <is>
          <t>81,81_UC,81_HM,81_ST,81_HD,81_HG</t>
        </is>
      </c>
      <c r="H117" s="6" t="inlineStr"/>
      <c r="I117" s="6" t="inlineStr"/>
      <c r="J117" s="6" t="inlineStr"/>
    </row>
    <row r="118" ht="18" customHeight="1">
      <c r="A118" s="6" t="n">
        <v>11</v>
      </c>
      <c r="B118" s="6" t="inlineStr">
        <is>
          <t>RTF_SYS_RP_CELL</t>
        </is>
      </c>
      <c r="C118" s="6" t="inlineStr">
        <is>
          <t>RTF[R+P] CELL</t>
        </is>
      </c>
      <c r="D118" s="6" t="inlineStr">
        <is>
          <t>37</t>
        </is>
      </c>
      <c r="E118" s="6" t="inlineStr">
        <is>
          <t>N</t>
        </is>
      </c>
      <c r="F118" s="6" t="inlineStr">
        <is>
          <t>Y</t>
        </is>
      </c>
      <c r="G118" s="6" t="inlineStr">
        <is>
          <t>81,81_UC,81_HM,81_ST,81_HD,81_HG</t>
        </is>
      </c>
      <c r="H118" s="6" t="inlineStr"/>
      <c r="I118" s="6" t="inlineStr"/>
      <c r="J118" s="6" t="inlineStr"/>
    </row>
    <row r="119" ht="18" customHeight="1">
      <c r="A119" s="6" t="n">
        <v>12</v>
      </c>
      <c r="B119" s="6" t="inlineStr">
        <is>
          <t>RTF_ENERGY</t>
        </is>
      </c>
      <c r="C119" s="6" t="inlineStr">
        <is>
          <t>RTF[R+P] Energy(MWH)</t>
        </is>
      </c>
      <c r="D119" s="6" t="inlineStr">
        <is>
          <t>38</t>
        </is>
      </c>
      <c r="E119" s="6" t="inlineStr">
        <is>
          <t>N</t>
        </is>
      </c>
      <c r="F119" s="6" t="inlineStr">
        <is>
          <t>Y</t>
        </is>
      </c>
      <c r="G119" s="6" t="inlineStr">
        <is>
          <t>82,40</t>
        </is>
      </c>
      <c r="H119" s="6" t="inlineStr"/>
      <c r="I119" s="6" t="inlineStr"/>
      <c r="J119" s="6" t="inlineStr"/>
    </row>
    <row r="120" ht="18" customHeight="1">
      <c r="A120" s="6" t="n">
        <v>13</v>
      </c>
      <c r="B120" s="6" t="inlineStr">
        <is>
          <t>RTF_PR</t>
        </is>
      </c>
      <c r="C120" s="6" t="inlineStr">
        <is>
          <t>RTF_PR</t>
        </is>
      </c>
      <c r="D120" s="6" t="inlineStr">
        <is>
          <t>39</t>
        </is>
      </c>
      <c r="E120" s="6" t="inlineStr">
        <is>
          <t>Y</t>
        </is>
      </c>
      <c r="F120" s="6" t="inlineStr">
        <is>
          <t>Y</t>
        </is>
      </c>
      <c r="G120" s="6" t="inlineStr">
        <is>
          <t>40,81,81_UC,81_HM,81_ST,81_HD,81_HG</t>
        </is>
      </c>
      <c r="H120" s="6" t="inlineStr"/>
      <c r="I120" s="6" t="inlineStr"/>
      <c r="J120" s="6" t="inlineStr"/>
    </row>
    <row r="121" ht="18" customHeight="1">
      <c r="A121" s="6" t="n">
        <v>14</v>
      </c>
      <c r="B121" s="6" t="inlineStr">
        <is>
          <t>RTF_BALANCE</t>
        </is>
      </c>
      <c r="C121" s="6" t="inlineStr">
        <is>
          <t>RTF_BALANCE</t>
        </is>
      </c>
      <c r="D121" s="6" t="inlineStr">
        <is>
          <t>40</t>
        </is>
      </c>
      <c r="E121" s="6" t="inlineStr">
        <is>
          <t>Y</t>
        </is>
      </c>
      <c r="F121" s="6" t="inlineStr">
        <is>
          <t>Y</t>
        </is>
      </c>
      <c r="G121" s="6" t="inlineStr">
        <is>
          <t>40,81,81_UC,81_HM,81_ST,81_HD,81_HG</t>
        </is>
      </c>
      <c r="H121" s="6" t="inlineStr"/>
      <c r="I121" s="6" t="inlineStr"/>
      <c r="J121" s="6" t="inlineStr"/>
    </row>
    <row r="122" ht="18" customHeight="1">
      <c r="A122" s="6" t="n">
        <v>15</v>
      </c>
      <c r="B122" s="6" t="inlineStr">
        <is>
          <t>SCM_FCST</t>
        </is>
      </c>
      <c r="C122" s="6" t="inlineStr">
        <is>
          <t>SCM FCST[R+P]</t>
        </is>
      </c>
      <c r="D122" s="6" t="inlineStr">
        <is>
          <t>41</t>
        </is>
      </c>
      <c r="E122" s="6" t="inlineStr">
        <is>
          <t>Y</t>
        </is>
      </c>
      <c r="F122" s="6" t="inlineStr">
        <is>
          <t>Y</t>
        </is>
      </c>
      <c r="G122" s="6" t="inlineStr">
        <is>
          <t>40</t>
        </is>
      </c>
      <c r="H122" s="6" t="inlineStr"/>
      <c r="I122" s="6" t="inlineStr"/>
      <c r="J122" s="6" t="inlineStr"/>
    </row>
    <row r="123" ht="18" customHeight="1">
      <c r="A123" s="6" t="n">
        <v>16</v>
      </c>
      <c r="B123" s="6" t="inlineStr">
        <is>
          <t>CUST_FCST</t>
        </is>
      </c>
      <c r="C123" s="6" t="inlineStr">
        <is>
          <t>Cust. FCST[P+P]</t>
        </is>
      </c>
      <c r="D123" s="6" t="inlineStr">
        <is>
          <t>42</t>
        </is>
      </c>
      <c r="E123" s="6" t="inlineStr">
        <is>
          <t>N</t>
        </is>
      </c>
      <c r="F123" s="6" t="inlineStr">
        <is>
          <t>Y</t>
        </is>
      </c>
      <c r="G123" s="6" t="inlineStr">
        <is>
          <t>40,82,81,81_UC,81_HM,81_ST,81_HD,81_HG</t>
        </is>
      </c>
      <c r="H123" s="6" t="inlineStr"/>
      <c r="I123" s="6" t="inlineStr"/>
      <c r="J123" s="6" t="inlineStr"/>
    </row>
    <row r="124" ht="18" customHeight="1">
      <c r="A124" s="6" t="n">
        <v>17</v>
      </c>
      <c r="B124" s="6" t="inlineStr">
        <is>
          <t>TMM_FCST</t>
        </is>
      </c>
      <c r="C124" s="6" t="inlineStr">
        <is>
          <t>TMM [P+P]</t>
        </is>
      </c>
      <c r="D124" s="6" t="inlineStr">
        <is>
          <t>43</t>
        </is>
      </c>
      <c r="E124" s="6" t="inlineStr">
        <is>
          <t>N</t>
        </is>
      </c>
      <c r="F124" s="6" t="inlineStr">
        <is>
          <t>Y</t>
        </is>
      </c>
      <c r="G124" s="6" t="inlineStr">
        <is>
          <t>81,81_UC,81_HM,81_ST,81_HD,81_HG</t>
        </is>
      </c>
      <c r="H124" s="6" t="inlineStr"/>
      <c r="I124" s="6" t="inlineStr"/>
      <c r="J124" s="6" t="inlineStr"/>
    </row>
    <row r="125" ht="18" customHeight="1">
      <c r="A125" s="6" t="n">
        <v>18</v>
      </c>
      <c r="B125" s="6" t="inlineStr">
        <is>
          <t>KRW</t>
        </is>
      </c>
      <c r="C125" s="6" t="inlineStr">
        <is>
          <t>Unit Price(KRW)</t>
        </is>
      </c>
      <c r="D125" s="6" t="inlineStr">
        <is>
          <t>50</t>
        </is>
      </c>
      <c r="E125" s="6" t="inlineStr">
        <is>
          <t>N</t>
        </is>
      </c>
      <c r="F125" s="6" t="inlineStr">
        <is>
          <t>Y</t>
        </is>
      </c>
      <c r="G125" s="6" t="inlineStr">
        <is>
          <t>40,82,81,81_UC,81_HM,81_ST,81_HD,81_HG</t>
        </is>
      </c>
      <c r="H125" s="6" t="inlineStr"/>
      <c r="I125" s="6" t="inlineStr"/>
      <c r="J125" s="6" t="inlineStr"/>
    </row>
    <row r="126" ht="18" customHeight="1">
      <c r="A126" s="6" t="n">
        <v>19</v>
      </c>
      <c r="B126" s="6" t="inlineStr">
        <is>
          <t>USD</t>
        </is>
      </c>
      <c r="C126" s="6" t="inlineStr">
        <is>
          <t>Unit Price(USD)</t>
        </is>
      </c>
      <c r="D126" s="6" t="inlineStr">
        <is>
          <t>60</t>
        </is>
      </c>
      <c r="E126" s="6" t="inlineStr">
        <is>
          <t>N</t>
        </is>
      </c>
      <c r="F126" s="6" t="inlineStr">
        <is>
          <t>Y</t>
        </is>
      </c>
      <c r="G126" s="6" t="inlineStr">
        <is>
          <t>40,82,81,81_UC,81_HM,81_ST,81_HD,81_HG</t>
        </is>
      </c>
      <c r="H126" s="6" t="inlineStr"/>
      <c r="I126" s="6" t="inlineStr"/>
      <c r="J126" s="6" t="inlineStr"/>
    </row>
    <row r="127" ht="18" customHeight="1">
      <c r="A127" s="6" t="n">
        <v>20</v>
      </c>
      <c r="B127" s="6" t="inlineStr">
        <is>
          <t>LOC</t>
        </is>
      </c>
      <c r="C127" s="6" t="inlineStr">
        <is>
          <t>Unit Price(LOC)</t>
        </is>
      </c>
      <c r="D127" s="6" t="inlineStr">
        <is>
          <t>70</t>
        </is>
      </c>
      <c r="E127" s="6" t="inlineStr">
        <is>
          <t>Y</t>
        </is>
      </c>
      <c r="F127" s="6" t="inlineStr">
        <is>
          <t>Y</t>
        </is>
      </c>
      <c r="G127" s="6" t="inlineStr">
        <is>
          <t>40,82,81,81_UC,81_HM,81_ST,81_HD,81_HG</t>
        </is>
      </c>
      <c r="H127" s="6" t="inlineStr"/>
      <c r="I127" s="6" t="inlineStr"/>
      <c r="J127" s="6" t="inlineStr"/>
    </row>
    <row r="128" ht="18" customHeight="1">
      <c r="A128" s="6" t="n">
        <v>21</v>
      </c>
      <c r="B128" s="6" t="inlineStr">
        <is>
          <t>SalesAmt_KRW</t>
        </is>
      </c>
      <c r="C128" s="6" t="inlineStr">
        <is>
          <t>Sales Amt.(KRW)</t>
        </is>
      </c>
      <c r="D128" s="6" t="inlineStr">
        <is>
          <t>81</t>
        </is>
      </c>
      <c r="E128" s="6" t="inlineStr">
        <is>
          <t>Y</t>
        </is>
      </c>
      <c r="F128" s="6" t="inlineStr">
        <is>
          <t>Y</t>
        </is>
      </c>
      <c r="G128" s="6" t="inlineStr">
        <is>
          <t>40,82,81,81_UC,81_HM,81_ST,81_HD,81_HG</t>
        </is>
      </c>
      <c r="H128" s="6" t="inlineStr"/>
      <c r="I128" s="6" t="inlineStr"/>
      <c r="J128" s="6" t="inlineStr"/>
    </row>
    <row r="129" ht="18" customHeight="1">
      <c r="A129" s="6" t="n">
        <v>22</v>
      </c>
      <c r="B129" s="6" t="inlineStr">
        <is>
          <t>SalesAmt_USD</t>
        </is>
      </c>
      <c r="C129" s="6" t="inlineStr">
        <is>
          <t>Sales Amt.(USD)</t>
        </is>
      </c>
      <c r="D129" s="6" t="inlineStr">
        <is>
          <t>82</t>
        </is>
      </c>
      <c r="E129" s="6" t="inlineStr">
        <is>
          <t>N</t>
        </is>
      </c>
      <c r="F129" s="6" t="inlineStr">
        <is>
          <t>Y</t>
        </is>
      </c>
      <c r="G129" s="6" t="inlineStr">
        <is>
          <t>40,82,81,81_UC,81_HM,81_ST,81_HD,81_HG</t>
        </is>
      </c>
      <c r="H129" s="6" t="inlineStr"/>
      <c r="I129" s="6" t="inlineStr"/>
      <c r="J129" s="6" t="inlineStr"/>
    </row>
    <row r="130" ht="18" customHeight="1">
      <c r="A130" s="6" t="n">
        <v>23</v>
      </c>
      <c r="B130" s="6" t="inlineStr">
        <is>
          <t>SalesAmt_LOC</t>
        </is>
      </c>
      <c r="C130" s="6" t="inlineStr">
        <is>
          <t>Sales Amt.(LOC)</t>
        </is>
      </c>
      <c r="D130" s="6" t="inlineStr">
        <is>
          <t>83</t>
        </is>
      </c>
      <c r="E130" s="6" t="inlineStr">
        <is>
          <t>Y</t>
        </is>
      </c>
      <c r="F130" s="6" t="inlineStr">
        <is>
          <t>Y</t>
        </is>
      </c>
      <c r="G130" s="6" t="inlineStr">
        <is>
          <t>40,82,81,81_UC,81_HM,81_ST,81_HD,81_HG</t>
        </is>
      </c>
      <c r="H130" s="6" t="inlineStr"/>
      <c r="I130" s="6" t="inlineStr"/>
      <c r="J130" s="6" t="inlineStr">
        <is>
          <t>편집 (기타매출 — EDIT_AUTH_SalesAmt_LOC)</t>
        </is>
      </c>
    </row>
    <row r="131" ht="18" customHeight="1">
      <c r="A131" s="6" t="n">
        <v>24</v>
      </c>
      <c r="B131" s="6" t="inlineStr">
        <is>
          <t>MKT_AMT_KRW</t>
        </is>
      </c>
      <c r="C131" s="6" t="inlineStr">
        <is>
          <t>MKT FCST Amt.(KRW)</t>
        </is>
      </c>
      <c r="D131" s="6" t="inlineStr">
        <is>
          <t>91</t>
        </is>
      </c>
      <c r="E131" s="6" t="inlineStr">
        <is>
          <t>N</t>
        </is>
      </c>
      <c r="F131" s="6" t="inlineStr">
        <is>
          <t>Y</t>
        </is>
      </c>
      <c r="G131" s="6" t="inlineStr">
        <is>
          <t>40,82,81,81_UC,81_HM,81_ST,81_HD,81_HG</t>
        </is>
      </c>
      <c r="H131" s="6" t="inlineStr"/>
      <c r="I131" s="6" t="inlineStr"/>
      <c r="J131" s="6" t="inlineStr"/>
    </row>
    <row r="132" ht="18" customHeight="1">
      <c r="A132" s="6" t="n">
        <v>25</v>
      </c>
      <c r="B132" s="6" t="inlineStr">
        <is>
          <t>MKT_AMT_LOC</t>
        </is>
      </c>
      <c r="C132" s="6" t="inlineStr">
        <is>
          <t>MKT FCST Amt.(LOC)</t>
        </is>
      </c>
      <c r="D132" s="6" t="inlineStr">
        <is>
          <t>92</t>
        </is>
      </c>
      <c r="E132" s="6" t="inlineStr">
        <is>
          <t>N</t>
        </is>
      </c>
      <c r="F132" s="6" t="inlineStr">
        <is>
          <t>Y</t>
        </is>
      </c>
      <c r="G132" s="6" t="inlineStr">
        <is>
          <t>40,82,81,81_UC,81_HM,81_ST,81_HD,81_HG</t>
        </is>
      </c>
      <c r="H132" s="6" t="inlineStr"/>
      <c r="I132" s="6" t="inlineStr"/>
      <c r="J132" s="6" t="inlineStr"/>
    </row>
    <row r="133" ht="18" customHeight="1">
      <c r="A133" s="6" t="n">
        <v>26</v>
      </c>
      <c r="B133" s="6" t="inlineStr">
        <is>
          <t>Catch_Up</t>
        </is>
      </c>
      <c r="C133" s="6" t="inlineStr">
        <is>
          <t>Catch-Up</t>
        </is>
      </c>
      <c r="D133" s="6" t="inlineStr">
        <is>
          <t>93</t>
        </is>
      </c>
      <c r="E133" s="6" t="inlineStr">
        <is>
          <t>N</t>
        </is>
      </c>
      <c r="F133" s="6" t="inlineStr">
        <is>
          <t>Y</t>
        </is>
      </c>
      <c r="G133" s="6" t="inlineStr">
        <is>
          <t>40</t>
        </is>
      </c>
      <c r="H133" s="6" t="inlineStr"/>
      <c r="I133" s="6" t="inlineStr"/>
      <c r="J133" s="6" t="inlineStr">
        <is>
          <t>편집 (40 전용, M+3 이후)</t>
        </is>
      </c>
    </row>
    <row r="134" ht="18" customHeight="1">
      <c r="A134" s="6" t="n">
        <v>27</v>
      </c>
      <c r="B134" s="6" t="inlineStr">
        <is>
          <t>LOC_Catch_Up</t>
        </is>
      </c>
      <c r="C134" s="6" t="inlineStr">
        <is>
          <t>Unit Price(LOC)_Catch Up</t>
        </is>
      </c>
      <c r="D134" s="6" t="inlineStr">
        <is>
          <t>94</t>
        </is>
      </c>
      <c r="E134" s="6" t="inlineStr">
        <is>
          <t>N</t>
        </is>
      </c>
      <c r="F134" s="6" t="inlineStr">
        <is>
          <t>N</t>
        </is>
      </c>
      <c r="G134" s="6" t="inlineStr">
        <is>
          <t>40</t>
        </is>
      </c>
      <c r="H134" s="6" t="inlineStr"/>
      <c r="I134" s="6" t="inlineStr"/>
      <c r="J134" s="6" t="inlineStr"/>
    </row>
    <row r="135" ht="18" customHeight="1">
      <c r="A135" s="6" t="n">
        <v>28</v>
      </c>
      <c r="B135" s="6" t="inlineStr">
        <is>
          <t>SalesAmt_KRW_Catch_Up</t>
        </is>
      </c>
      <c r="C135" s="6" t="inlineStr">
        <is>
          <t>Sales Amt.(KRW)_Catch Up</t>
        </is>
      </c>
      <c r="D135" s="6" t="inlineStr">
        <is>
          <t>95</t>
        </is>
      </c>
      <c r="E135" s="6" t="inlineStr">
        <is>
          <t>N</t>
        </is>
      </c>
      <c r="F135" s="6" t="inlineStr">
        <is>
          <t>Y</t>
        </is>
      </c>
      <c r="G135" s="6" t="inlineStr">
        <is>
          <t>40</t>
        </is>
      </c>
      <c r="H135" s="6" t="inlineStr"/>
      <c r="I135" s="6" t="inlineStr"/>
      <c r="J135" s="6" t="inlineStr"/>
    </row>
    <row r="136" ht="18" customHeight="1">
      <c r="A136" s="6" t="n">
        <v>29</v>
      </c>
      <c r="B136" s="6" t="inlineStr">
        <is>
          <t>SalesAmt_LOC_Catch_Up</t>
        </is>
      </c>
      <c r="C136" s="6" t="inlineStr">
        <is>
          <t>Sales Amt.(LOC)_Catch Up</t>
        </is>
      </c>
      <c r="D136" s="6" t="inlineStr">
        <is>
          <t>96</t>
        </is>
      </c>
      <c r="E136" s="6" t="inlineStr">
        <is>
          <t>N</t>
        </is>
      </c>
      <c r="F136" s="6" t="inlineStr">
        <is>
          <t>Y</t>
        </is>
      </c>
      <c r="G136" s="6" t="inlineStr">
        <is>
          <t>40</t>
        </is>
      </c>
      <c r="H136" s="6" t="inlineStr"/>
      <c r="I136" s="6" t="inlineStr"/>
      <c r="J136" s="6" t="inlineStr"/>
    </row>
    <row r="137" ht="18" customHeight="1">
      <c r="A137" s="6" t="n">
        <v>30</v>
      </c>
      <c r="B137" s="6" t="inlineStr">
        <is>
          <t>SalesAmt_USD_Catch_Up</t>
        </is>
      </c>
      <c r="C137" s="6" t="inlineStr">
        <is>
          <t>Sales Amt.(USD)_Catch Up</t>
        </is>
      </c>
      <c r="D137" s="6" t="inlineStr">
        <is>
          <t>97</t>
        </is>
      </c>
      <c r="E137" s="6" t="inlineStr">
        <is>
          <t>N</t>
        </is>
      </c>
      <c r="F137" s="6" t="inlineStr">
        <is>
          <t>Y</t>
        </is>
      </c>
      <c r="G137" s="6" t="inlineStr">
        <is>
          <t>40</t>
        </is>
      </c>
      <c r="H137" s="6" t="inlineStr"/>
      <c r="I137" s="6" t="inlineStr"/>
      <c r="J137" s="6" t="inlineStr"/>
    </row>
    <row r="138" ht="18" customHeight="1">
      <c r="A138" s="6" t="n">
        <v>31</v>
      </c>
      <c r="B138" s="6" t="inlineStr">
        <is>
          <t>SalesAmt_LOC_User</t>
        </is>
      </c>
      <c r="C138" s="6" t="inlineStr">
        <is>
          <t>Sales Amt.(LOC)_User</t>
        </is>
      </c>
      <c r="D138" s="6" t="inlineStr">
        <is>
          <t>150</t>
        </is>
      </c>
      <c r="E138" s="6" t="inlineStr">
        <is>
          <t>Y</t>
        </is>
      </c>
      <c r="F138" s="6" t="inlineStr">
        <is>
          <t>Y</t>
        </is>
      </c>
      <c r="G138" s="6" t="inlineStr">
        <is>
          <t>40,82,81,81_UC,81_HM,81_ST,81_HD,81_HG</t>
        </is>
      </c>
      <c r="H138" s="6" t="inlineStr"/>
      <c r="I138" s="6" t="inlineStr"/>
      <c r="J138" s="6" t="inlineStr"/>
    </row>
    <row r="139">
      <c r="A139" s="2" t="inlineStr">
        <is>
          <t>※ 편집 가능 Measure = SalesAmt_LOC / Catch_Up / RTF_SYS_RP 3종 (행 SALES_PLAN_ADJUST_YN=N_Y + 그룹 권한). 나머지는 조회 전용.</t>
        </is>
      </c>
    </row>
  </sheetData>
  <mergeCells count="6">
    <mergeCell ref="A93:J93"/>
    <mergeCell ref="A106:J106"/>
    <mergeCell ref="A3:J3"/>
    <mergeCell ref="A4:J4"/>
    <mergeCell ref="A82:J82"/>
    <mergeCell ref="A11:J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6" customWidth="1" min="3" max="3"/>
    <col width="16" customWidth="1" min="4" max="4"/>
    <col width="32" customWidth="1" min="5" max="5"/>
  </cols>
  <sheetData>
    <row r="1" ht="21" customHeight="1">
      <c r="A1" s="1" t="inlineStr">
        <is>
          <t>5. EVENT — AS-IS 전수 + TO-BE 설계 매핑</t>
        </is>
      </c>
    </row>
    <row r="2">
      <c r="A2" s="2" t="inlineStr">
        <is>
          <t>DMF0021 Sales Plan · UI 분석서 v1.0 · 2026-07-09 (hook #105 11시트)</t>
        </is>
      </c>
    </row>
    <row r="3" ht="28" customHeight="1">
      <c r="A3" s="3" t="inlineStr">
        <is>
          <t>📖 읽는 법 — 사용자가 무엇을 하면 화면이 어떻게 반응하나. 상세 순서는 개발용 MD 참조.</t>
        </is>
      </c>
    </row>
    <row r="4" ht="20" customHeight="1">
      <c r="A4" s="4" t="inlineStr">
        <is>
          <t>이벤트 전수 (AS-IS 배선 30종 = Designer 25 + 코드배선 5 — 정본 Designer/Main 실측. TO-BE = 설계 제안, 미구현)</t>
        </is>
      </c>
    </row>
    <row r="5">
      <c r="A5" s="5" t="inlineStr">
        <is>
          <t>No</t>
        </is>
      </c>
      <c r="B5" s="5" t="inlineStr">
        <is>
          <t>AS-IS 이벤트</t>
        </is>
      </c>
      <c r="C5" s="5" t="inlineStr">
        <is>
          <t>동작</t>
        </is>
      </c>
      <c r="D5" s="5" t="inlineStr">
        <is>
          <t>TO-BE 상태</t>
        </is>
      </c>
      <c r="E5" s="5" t="inlineStr">
        <is>
          <t>TO-BE 구현 위치 (제안)</t>
        </is>
      </c>
    </row>
    <row r="6" ht="60" customHeight="1">
      <c r="A6" s="6" t="n">
        <v>1</v>
      </c>
      <c r="B6" s="6" t="inlineStr">
        <is>
          <t>Form_Load (코드배선 L299)</t>
        </is>
      </c>
      <c r="C6" s="6" t="inlineStr">
        <is>
          <t>초기화 체인: InitControls(콤보 15단계 로딩 — MyDivision→Team→BizType→EndCustomer→SalesSite→PlantSite→Bucket→Period→ItemType→ITEM_ID·CURRENCY·Measure·CustomsHandbook·FcstType) → CreateSpread(시트 "Sales Plan" 3단 헤더) → DefineProperty(기본 Monthly). ⚠ Designer 의 DMF0021_SalesPlan_Load 는 빈 구현(이중 배선)</t>
        </is>
      </c>
      <c r="D6" s="6" t="inlineStr">
        <is>
          <t>설계</t>
        </is>
      </c>
      <c r="E6" s="6" t="inlineStr">
        <is>
          <t>SalesPlan.tsx 초기화 + store initSearch (useTabComboQueries)</t>
        </is>
      </c>
    </row>
    <row r="7" ht="30" customHeight="1">
      <c r="A7" s="6" t="n">
        <v>2</v>
      </c>
      <c r="B7" s="6" t="inlineStr">
        <is>
          <t>clbDivision SelectedIndexChanged</t>
        </is>
      </c>
      <c r="C7" s="6" t="inlineStr">
        <is>
          <t>Team/BizType/EndCustomer/SalesSite/PlantSite 연쇄 재조회(BigFilter) + div40: Project·PlantSite 비활성/클리어 + 텍스트 3종 클리어 + InitSpread. blnWork 가드</t>
        </is>
      </c>
      <c r="D7" s="6" t="inlineStr">
        <is>
          <t>설계</t>
        </is>
      </c>
      <c r="E7" s="6" t="inlineStr">
        <is>
          <t>SalesPlanForm onChange 계단 clear (hook #59) + 40 분기</t>
        </is>
      </c>
    </row>
    <row r="8" ht="18" customHeight="1">
      <c r="A8" s="6" t="n">
        <v>3</v>
      </c>
      <c r="B8" s="6" t="inlineStr">
        <is>
          <t>clbTeam SelectedIndexChanged</t>
        </is>
      </c>
      <c r="C8" s="6" t="inlineStr">
        <is>
          <t>End Customer / Sales Site 재조회 (81·82 와 40 경로 분기)</t>
        </is>
      </c>
      <c r="D8" s="6" t="inlineStr">
        <is>
          <t>설계</t>
        </is>
      </c>
      <c r="E8" s="6" t="inlineStr">
        <is>
          <t>SalesPlanForm cascade</t>
        </is>
      </c>
    </row>
    <row r="9" ht="18" customHeight="1">
      <c r="A9" s="6" t="n">
        <v>4</v>
      </c>
      <c r="B9" s="6" t="inlineStr">
        <is>
          <t>clbCustomer SelectedIndexChanged</t>
        </is>
      </c>
      <c r="C9" s="6" t="inlineStr">
        <is>
          <t>Sales Site 재조회</t>
        </is>
      </c>
      <c r="D9" s="6" t="inlineStr">
        <is>
          <t>설계</t>
        </is>
      </c>
      <c r="E9" s="6" t="inlineStr">
        <is>
          <t>SalesPlanForm cascade</t>
        </is>
      </c>
    </row>
    <row r="10" ht="30" customHeight="1">
      <c r="A10" s="6" t="n">
        <v>5</v>
      </c>
      <c r="B10" s="6" t="inlineStr">
        <is>
          <t>cboBucketType SelectedIndexChanged</t>
        </is>
      </c>
      <c r="C10" s="6" t="inlineStr">
        <is>
          <t>D/W/M 컬럼 표시 전환(SetSpreadColumn) + 당주 보더/헤더 강조 재설정 + 편집모드면 잠금 재계산(EditButton 재호출)</t>
        </is>
      </c>
      <c r="D10" s="6" t="inlineStr">
        <is>
          <t>설계</t>
        </is>
      </c>
      <c r="E10" s="6" t="inlineStr">
        <is>
          <t>store bucketType + Grid 표시 규칙 (applyDynVisibility)</t>
        </is>
      </c>
    </row>
    <row r="11" ht="18" customHeight="1">
      <c r="A11" s="6" t="n">
        <v>6</v>
      </c>
      <c r="B11" s="6" t="inlineStr">
        <is>
          <t>cboBucketType Click 가드</t>
        </is>
      </c>
      <c r="C11" s="6" t="inlineStr">
        <is>
          <t>편집 중(비잠금) Bucket 변경 차단 — MSG00227</t>
        </is>
      </c>
      <c r="D11" s="6" t="inlineStr">
        <is>
          <t>설계</t>
        </is>
      </c>
      <c r="E11" s="6" t="inlineStr">
        <is>
          <t>validate.ts (EDITING_BUCKET_LOCK)</t>
        </is>
      </c>
    </row>
    <row r="12" ht="18" customHeight="1">
      <c r="A12" s="6" t="n">
        <v>7</v>
      </c>
      <c r="B12" s="6" t="inlineStr">
        <is>
          <t>chkSum CheckedChanged</t>
        </is>
      </c>
      <c r="C12" s="6" t="inlineStr">
        <is>
          <t>상위 버킷 합계 컬럼(M_/W_) 표시 토글</t>
        </is>
      </c>
      <c r="D12" s="6" t="inlineStr">
        <is>
          <t>설계</t>
        </is>
      </c>
      <c r="E12" s="6" t="inlineStr">
        <is>
          <t>Grid 표시 규칙 (sumYn)</t>
        </is>
      </c>
    </row>
    <row r="13" ht="30" customHeight="1">
      <c r="A13" s="6" t="n">
        <v>8</v>
      </c>
      <c r="B13" s="6" t="inlineStr">
        <is>
          <t>chkColor CheckedChanged</t>
        </is>
      </c>
      <c r="C13" s="6" t="inlineStr">
        <is>
          <t>과거 회색/당주 보더 색상 모드 전환</t>
        </is>
      </c>
      <c r="D13" s="6" t="inlineStr">
        <is>
          <t>설계</t>
        </is>
      </c>
      <c r="E13" s="6" t="inlineStr">
        <is>
          <t>Grid formatItem (기본 = 당주/당월 강조 — DMF0003 동일 정책 권장)</t>
        </is>
      </c>
    </row>
    <row r="14" ht="18" customHeight="1">
      <c r="A14" s="6" t="n">
        <v>9</v>
      </c>
      <c r="B14" s="6" t="inlineStr">
        <is>
          <t>txtProject/txtItemId KeyDown (코드배선)</t>
        </is>
      </c>
      <c r="C14" s="6" t="inlineStr">
        <is>
          <t>Enter 키 → Project/Model 팝업 위임</t>
        </is>
      </c>
      <c r="D14" s="6" t="inlineStr">
        <is>
          <t>설계</t>
        </is>
      </c>
      <c r="E14" s="6" t="inlineStr">
        <is>
          <t>Form 필드 onKeyDown → 모달 open</t>
        </is>
      </c>
    </row>
    <row r="15" ht="18" customHeight="1">
      <c r="A15" s="6" t="n">
        <v>10</v>
      </c>
      <c r="B15" s="6" t="inlineStr">
        <is>
          <t>btnProject Click</t>
        </is>
      </c>
      <c r="C15" s="6" t="inlineStr">
        <is>
          <t>Project 팝업 (81*/82 만 — 40 무동작) → txtProject 반영</t>
        </is>
      </c>
      <c r="D15" s="6" t="inlineStr">
        <is>
          <t>설계</t>
        </is>
      </c>
      <c r="E15" s="6" t="inlineStr">
        <is>
          <t>ProjectByDivisionModal</t>
        </is>
      </c>
    </row>
    <row r="16" ht="18" customHeight="1">
      <c r="A16" s="6" t="n">
        <v>11</v>
      </c>
      <c r="B16" s="6" t="inlineStr">
        <is>
          <t>btnItemId Click</t>
        </is>
      </c>
      <c r="C16" s="6" t="inlineStr">
        <is>
          <t>Model 팝업 → txtItemId 반영</t>
        </is>
      </c>
      <c r="D16" s="6" t="inlineStr">
        <is>
          <t>설계</t>
        </is>
      </c>
      <c r="E16" s="6" t="inlineStr">
        <is>
          <t>ItemByDivisionModal</t>
        </is>
      </c>
    </row>
    <row r="17" ht="18" customHeight="1">
      <c r="A17" s="6" t="n">
        <v>12</v>
      </c>
      <c r="B17" s="6" t="inlineStr">
        <is>
          <t>btnOwner Click</t>
        </is>
      </c>
      <c r="C17" s="6" t="inlineStr">
        <is>
          <t>Owner 팝업 → txtOwner 반영</t>
        </is>
      </c>
      <c r="D17" s="6" t="inlineStr">
        <is>
          <t>설계</t>
        </is>
      </c>
      <c r="E17" s="6" t="inlineStr">
        <is>
          <t>OwnerByDivisionModal</t>
        </is>
      </c>
    </row>
    <row r="18" ht="18" customHeight="1">
      <c r="A18" s="6" t="n">
        <v>13</v>
      </c>
      <c r="B18" s="6" t="inlineStr">
        <is>
          <t>btnColumn Click</t>
        </is>
      </c>
      <c r="C18" s="6" t="inlineStr">
        <is>
          <t>TitleSet 팝업(Column 모드, division 전달) → OK 시 InitSpread(true) 헤더 재구성</t>
        </is>
      </c>
      <c r="D18" s="6" t="inlineStr">
        <is>
          <t>설계</t>
        </is>
      </c>
      <c r="E18" s="6" t="inlineStr">
        <is>
          <t>공용 ColumnSettingModal (hook #58)</t>
        </is>
      </c>
    </row>
    <row r="19" ht="18" customHeight="1">
      <c r="A19" s="6" t="n">
        <v>14</v>
      </c>
      <c r="B19" s="6" t="inlineStr">
        <is>
          <t>btnMeasure Click</t>
        </is>
      </c>
      <c r="C19" s="6" t="inlineStr">
        <is>
          <t>TitleSet 팝업(Measure 모드) → OK 시 재구성</t>
        </is>
      </c>
      <c r="D19" s="6" t="inlineStr">
        <is>
          <t>설계</t>
        </is>
      </c>
      <c r="E19" s="6" t="inlineStr">
        <is>
          <t>MeasureSelectModal</t>
        </is>
      </c>
    </row>
    <row r="20" ht="30" customHeight="1">
      <c r="A20" s="6" t="n">
        <v>15</v>
      </c>
      <c r="B20" s="6" t="inlineStr">
        <is>
          <t>spdMain_CellDoubleClick (헤더)</t>
        </is>
      </c>
      <c r="C20" s="6" t="inlineStr">
        <is>
          <t>M_ 헤더: 해당 월 하위 W_(+Daily 시 D_) 접기/펼치기 토글 / W_ 헤더(Daily): 해당 주 D_ 토글</t>
        </is>
      </c>
      <c r="D20" s="6" t="inlineStr">
        <is>
          <t>설계</t>
        </is>
      </c>
      <c r="E20" s="6" t="inlineStr">
        <is>
          <t>Grid dblclickHandler 헤더 분기 (DMF0003 드릴 구현 준용)</t>
        </is>
      </c>
    </row>
    <row r="21" ht="30" customHeight="1">
      <c r="A21" s="6" t="n">
        <v>16</v>
      </c>
      <c r="B21" s="6" t="inlineStr">
        <is>
          <t>spdMain_CellDoubleClick (셀)</t>
        </is>
      </c>
      <c r="C21" s="6" t="inlineStr">
        <is>
          <t>신규 I 행 + 비잠금만: PROJECT_CODE 셀 → Project 팝업(5필드 자동세팅+Model 클리어) / 40+Catch_Up ITEM_ID 셀 → Item 팝업(ITEM_ID/ITEM_TYPE/NICK_NAME)</t>
        </is>
      </c>
      <c r="D21" s="6" t="inlineStr">
        <is>
          <t>설계</t>
        </is>
      </c>
      <c r="E21" s="6" t="inlineStr">
        <is>
          <t>Grid dblclickHandler + FPModal 셀 (hook feedback_grid_popup_cell)</t>
        </is>
      </c>
    </row>
    <row r="22" ht="60" customHeight="1">
      <c r="A22" s="6" t="n">
        <v>17</v>
      </c>
      <c r="B22" s="6" t="inlineStr">
        <is>
          <t>spdMain_ComboSelChange</t>
        </is>
      </c>
      <c r="C22" s="6" t="inlineStr">
        <is>
          <t>행 내 cascade 6키: DIVISION_ID(콤보 5종 재바인딩+하위 8컬럼 clear+PLANT 81만 unlock) / END_CUSTOMER(6컬럼 clear) / END_CUSTOMER40 / SCM_SITE_ID(5컬럼 clear) / ITEM_ID(모델명 자동세팅+CELL_PROD_SITE 재바인딩) / MEASURE(Catch_Up↔SalesAmt_LOC 대규모 전환). ⚠ DEPT_ID 분기는 전체 주석(무동작)</t>
        </is>
      </c>
      <c r="D22" s="6" t="inlineStr">
        <is>
          <t>설계</t>
        </is>
      </c>
      <c r="E22" s="6" t="inlineStr">
        <is>
          <t>beginningEdit 행값 dataMap 스왑 + cellEditEnded 원복 (hook #59 §5-G) + 계단 clear</t>
        </is>
      </c>
    </row>
    <row r="23" ht="30" customHeight="1">
      <c r="A23" s="6" t="n">
        <v>18</v>
      </c>
      <c r="B23" s="6" t="inlineStr">
        <is>
          <t>Dsdm_Changed (셀 값 변경)</t>
        </is>
      </c>
      <c r="C23" s="6" t="inlineStr">
        <is>
          <t>가드(잠금/음수 인덱스/잠금셀/D_) → MEASURE 빈 행 입력 롤백 → 변경 셀 ForeColor=Red 마킹(저장 대상) → 인접 W_/M_ SUM 셀 재set</t>
        </is>
      </c>
      <c r="D23" s="6" t="inlineStr">
        <is>
          <t>설계</t>
        </is>
      </c>
      <c r="E23" s="6" t="inlineStr">
        <is>
          <t>cellEditEnded — dirty 마킹 + recalc.ts</t>
        </is>
      </c>
    </row>
    <row r="24" ht="18" customHeight="1">
      <c r="A24" s="6" t="n">
        <v>19</v>
      </c>
      <c r="B24" s="6" t="inlineStr">
        <is>
          <t>spdMain_EnterCell</t>
        </is>
      </c>
      <c r="C24" s="6" t="inlineStr">
        <is>
          <t>기간 셀 진입 시 원본값 백업 (빈값→"0")</t>
        </is>
      </c>
      <c r="D24" s="6" t="inlineStr">
        <is>
          <t>설계</t>
        </is>
      </c>
      <c r="E24" s="6" t="inlineStr">
        <is>
          <t>(Wijmo 내장 편집 상태로 대체)</t>
        </is>
      </c>
    </row>
    <row r="25" ht="30" customHeight="1">
      <c r="A25" s="6" t="n">
        <v>20</v>
      </c>
      <c r="B25" s="6" t="inlineStr">
        <is>
          <t>spdMain_LeaveCell</t>
        </is>
      </c>
      <c r="C25" s="6" t="inlineStr">
        <is>
          <t>편집 셀 이탈: RTF_SYS_RP 음수 차단(FcstType RMA 제외)+정수 절삭 / SalesAmt_LOC 소수 3자리 포맷</t>
        </is>
      </c>
      <c r="D25" s="6" t="inlineStr">
        <is>
          <t>설계</t>
        </is>
      </c>
      <c r="E25" s="6" t="inlineStr">
        <is>
          <t>cellEditEnded validate + 포맷 (utils/sales-plan.validate.ts)</t>
        </is>
      </c>
    </row>
    <row r="26" ht="30" customHeight="1">
      <c r="A26" s="6" t="n">
        <v>21</v>
      </c>
      <c r="B26" s="6" t="inlineStr">
        <is>
          <t>spdMain_TopChange</t>
        </is>
      </c>
      <c r="C26" s="6" t="inlineStr">
        <is>
          <t>스크롤 시 SmartColMerge 재적용 (세로 머지 sticky)</t>
        </is>
      </c>
      <c r="D26" s="6" t="inlineStr">
        <is>
          <t>설계</t>
        </is>
      </c>
      <c r="E26" s="6" t="inlineStr">
        <is>
          <t>HierarchicalMergeManager + formatItem translateY (hook #38)</t>
        </is>
      </c>
    </row>
    <row r="27" ht="18" customHeight="1">
      <c r="A27" s="6" t="n">
        <v>22</v>
      </c>
      <c r="B27" s="6" t="inlineStr">
        <is>
          <t>spdMain_KeyUp (Ctrl+C/V)</t>
        </is>
      </c>
      <c r="C27" s="6" t="inlineStr">
        <is>
          <t>MEASURE 우측 영역만 — 숨김열 제외 복사/붙여넣기</t>
        </is>
      </c>
      <c r="D27" s="6" t="inlineStr">
        <is>
          <t>설계</t>
        </is>
      </c>
      <c r="E27" s="6" t="inlineStr">
        <is>
          <t>FlexGrid allowClipboard (Wijmo 내장)</t>
        </is>
      </c>
    </row>
    <row r="28" ht="30" customHeight="1">
      <c r="A28" s="6" t="n">
        <v>23</v>
      </c>
      <c r="B28" s="6" t="inlineStr">
        <is>
          <t>spdMain_ClipboardPasted</t>
        </is>
      </c>
      <c r="C28" s="6" t="inlineStr">
        <is>
          <t>붙여넣기 범위에 ITEM_ID 포함 시 행별 CELL_PROD_SITE_ID 콤보 재바인딩 [PJ2025-50017]</t>
        </is>
      </c>
      <c r="D28" s="6" t="inlineStr">
        <is>
          <t>설계</t>
        </is>
      </c>
      <c r="E28" s="6" t="inlineStr">
        <is>
          <t>pastedCellHandler (dataMap 재부착)</t>
        </is>
      </c>
    </row>
    <row r="29" ht="30" customHeight="1">
      <c r="A29" s="6" t="n">
        <v>24</v>
      </c>
      <c r="B29" s="6" t="inlineStr">
        <is>
          <t>빈 구현 5종 + 이중 Load</t>
        </is>
      </c>
      <c r="C29" s="6" t="inlineStr">
        <is>
          <t>EditModeStarting/On/Off, EditChange, TextChanged = 빈 구현. Load 이중 배선(실동작 Form_Load)</t>
        </is>
      </c>
      <c r="D29" s="6" t="inlineStr">
        <is>
          <t>미적용 (AS-IS 자체 무동작)</t>
        </is>
      </c>
      <c r="E29" s="6" t="inlineStr">
        <is>
          <t>-</t>
        </is>
      </c>
    </row>
    <row r="30" ht="18" customHeight="1">
      <c r="A30" s="6" t="n">
        <v>25</v>
      </c>
      <c r="B30" s="6" t="inlineStr">
        <is>
          <t>dead 3종 (cboKRW/USD/LOC)</t>
        </is>
      </c>
      <c r="C30" s="6" t="inlineStr">
        <is>
          <t>금액 환산 콤보 잔재 — 컨트롤 자체 없음</t>
        </is>
      </c>
      <c r="D30" s="6" t="inlineStr">
        <is>
          <t>미적용</t>
        </is>
      </c>
      <c r="E30" s="6" t="inlineStr">
        <is>
          <t>-</t>
        </is>
      </c>
    </row>
    <row r="32" ht="20" customHeight="1">
      <c r="A32" s="4" t="inlineStr">
        <is>
          <t>Framework(BaseForm) 버튼 override — 6종 전수</t>
        </is>
      </c>
    </row>
    <row r="33">
      <c r="A33" s="5" t="inlineStr">
        <is>
          <t>No</t>
        </is>
      </c>
      <c r="B33" s="5" t="inlineStr">
        <is>
          <t>override</t>
        </is>
      </c>
      <c r="C33" s="5" t="inlineStr">
        <is>
          <t>동작</t>
        </is>
      </c>
      <c r="D33" s="5" t="inlineStr">
        <is>
          <t>TO-BE 상태</t>
        </is>
      </c>
      <c r="E33" s="5" t="inlineStr">
        <is>
          <t>TO-BE 구현 위치 (제안)</t>
        </is>
      </c>
    </row>
    <row r="34" ht="30" customHeight="1">
      <c r="A34" s="6" t="n">
        <v>1</v>
      </c>
      <c r="B34" s="6" t="inlineStr">
        <is>
          <t>FindButton (F5)</t>
        </is>
      </c>
      <c r="C34" s="6" t="inlineStr">
        <is>
          <t>FindData — 검증 4종 후 GET_DM_PLN_SALES_PLAN_DATAEx (18 param) → 전체 잠금 → SmartColMerge → Draw(NOTATION 포맷/과거색/당주 보더) → SetSpreadColumn</t>
        </is>
      </c>
      <c r="D34" s="6" t="inlineStr">
        <is>
          <t>설계</t>
        </is>
      </c>
      <c r="E34" s="6" t="inlineStr">
        <is>
          <t>useTabProcQuery + handleSearch (setFilter 만 — refetch 금지)</t>
        </is>
      </c>
    </row>
    <row r="35" ht="30" customHeight="1">
      <c r="A35" s="6" t="n">
        <v>2</v>
      </c>
      <c r="B35" s="6" t="inlineStr">
        <is>
          <t>InsertButton (F8)</t>
        </is>
      </c>
      <c r="C35" s="6" t="inlineStr">
        <is>
          <t>InsertRow — EDIT_AUTH_SalesAmt_LOC 권한 + 편집모드 → 행 삽입 + 기본값/콤보/잠금 세팅 (Expression §InsertRow 68 잠금)</t>
        </is>
      </c>
      <c r="D35" s="6" t="inlineStr">
        <is>
          <t>설계</t>
        </is>
      </c>
      <c r="E35" s="6" t="inlineStr">
        <is>
          <t>hotkeyConfig insert + loadedRows 패턴</t>
        </is>
      </c>
    </row>
    <row r="36" ht="18" customHeight="1">
      <c r="A36" s="6" t="n">
        <v>3</v>
      </c>
      <c r="B36" s="6" t="inlineStr">
        <is>
          <t>DeleteButton (F9)</t>
        </is>
      </c>
      <c r="C36" s="6" t="inlineStr">
        <is>
          <t>Action=I 행만 화면 삭제</t>
        </is>
      </c>
      <c r="D36" s="6" t="inlineStr">
        <is>
          <t>설계</t>
        </is>
      </c>
      <c r="E36" s="6" t="inlineStr">
        <is>
          <t>hotkeyConfig delete (I 행 가드)</t>
        </is>
      </c>
    </row>
    <row r="37" ht="30" customHeight="1">
      <c r="A37" s="6" t="n">
        <v>4</v>
      </c>
      <c r="B37" s="6" t="inlineStr">
        <is>
          <t>EditButton (F2)</t>
        </is>
      </c>
      <c r="C37" s="6" t="inlineStr">
        <is>
          <t>편집모드 진입 — Daily 차단(MSG00361)/필수컬럼(MSG00429·00113) → 행·권한·버킷별 LockRange 재계산 (13건)</t>
        </is>
      </c>
      <c r="D37" s="6" t="inlineStr">
        <is>
          <t>설계 (상시 편집 + editLock 로 대체)</t>
        </is>
      </c>
      <c r="E37" s="6" t="inlineStr">
        <is>
          <t>grid editLock 규칙 (isReadOnly per cell)</t>
        </is>
      </c>
    </row>
    <row r="38" ht="45" customHeight="1">
      <c r="A38" s="6" t="n">
        <v>5</v>
      </c>
      <c r="B38" s="6" t="inlineStr">
        <is>
          <t>SaveButton (F7)</t>
        </is>
      </c>
      <c r="C38" s="6" t="inlineStr">
        <is>
          <t>SaveData — 필수값 2단 검증 → Red 셀만 '^' bulk 조립(빈값→0→D 전환/버킷 불일치 skip/Catch_Up 음수 차단) → SAVE SP → 결과 코드^메시지 → 재조회(위치 복원)</t>
        </is>
      </c>
      <c r="D38" s="6" t="inlineStr">
        <is>
          <t>설계</t>
        </is>
      </c>
      <c r="E38" s="6" t="inlineStr">
        <is>
          <t>useProcMutation 또는 apiClient.post bulk (hook #99 payload 무결성)</t>
        </is>
      </c>
    </row>
    <row r="39" ht="18" customHeight="1">
      <c r="A39" s="6" t="n">
        <v>6</v>
      </c>
      <c r="B39" s="6" t="inlineStr">
        <is>
          <t>ExcelButton (F12)</t>
        </is>
      </c>
      <c r="C39" s="6" t="inlineStr">
        <is>
          <t>SimplexelService.ExportFpSpread — 숨김열 제외/82 소수 포맷</t>
        </is>
      </c>
      <c r="D39" s="6" t="inlineStr">
        <is>
          <t>설계</t>
        </is>
      </c>
      <c r="E39" s="6" t="inlineStr">
        <is>
          <t>FlexGrid export (공통 EXCEL 버튼)</t>
        </is>
      </c>
    </row>
    <row r="40">
      <c r="A40" s="2" t="inlineStr">
        <is>
          <t>※ 기존 분석 대비: analysis.md 27건/27_DM xlsx 24건은 핸들러 계수 — 본 표 = 배선 30(Designer 25+코드 5) 기준 통합 25행 + override 6. 차이는 집계 기준(빈 구현·dead 포함 여부).</t>
        </is>
      </c>
    </row>
  </sheetData>
  <mergeCells count="3">
    <mergeCell ref="A4:E4"/>
    <mergeCell ref="A32:E32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40" customWidth="1" min="4" max="4"/>
    <col width="44" customWidth="1" min="5" max="5"/>
    <col width="14" customWidth="1" min="6" max="6"/>
  </cols>
  <sheetData>
    <row r="1" ht="21" customHeight="1">
      <c r="A1" s="1" t="inlineStr">
        <is>
          <t>6. VALIDATION — 소스 전수 (활성: 메시지 20 + Silent 38 / 잠금규칙 22)</t>
        </is>
      </c>
    </row>
    <row r="2">
      <c r="A2" s="2" t="inlineStr">
        <is>
          <t>DMF0021 Sales Plan · UI 분석서 v1.0 · 2026-07-09 (hook #105 11시트)</t>
        </is>
      </c>
    </row>
    <row r="3" ht="28" customHeight="1">
      <c r="A3" s="3" t="inlineStr">
        <is>
          <t>📖 읽는 법 — 언제 어떤 경고창(MSG)이 뜨나. 문구=사내 MSG_M 실측. ⚠미등록=DB 문구 없음.</t>
        </is>
      </c>
    </row>
    <row r="4" ht="20" customHeight="1">
      <c r="A4" s="4" t="inlineStr">
        <is>
          <t>메시지 기반 — 활성 20건 (문구 = 사내 SCM_ADM_MSG_M KO 실측. [TODO] = MSG_M placeholder 본문 미결정)</t>
        </is>
      </c>
    </row>
    <row r="5">
      <c r="A5" s="5" t="inlineStr">
        <is>
          <t>No</t>
        </is>
      </c>
      <c r="B5" s="5" t="inlineStr">
        <is>
          <t>위치</t>
        </is>
      </c>
      <c r="C5" s="5" t="inlineStr">
        <is>
          <t>MSG ID</t>
        </is>
      </c>
      <c r="D5" s="5" t="inlineStr">
        <is>
          <t>문구 (사내 MSG_M 실측)</t>
        </is>
      </c>
      <c r="E5" s="5" t="inlineStr">
        <is>
          <t>발생 조건 (AS-IS 소스)</t>
        </is>
      </c>
      <c r="F5" s="5" t="inlineStr">
        <is>
          <t>TO-BE (제안)</t>
        </is>
      </c>
    </row>
    <row r="6" ht="18" customHeight="1">
      <c r="A6" s="6" t="n">
        <v>1</v>
      </c>
      <c r="B6" s="6" t="inlineStr">
        <is>
          <t>편집</t>
        </is>
      </c>
      <c r="C6" s="6" t="inlineStr">
        <is>
          <t>MSG00429</t>
        </is>
      </c>
      <c r="D6" s="6" t="inlineStr">
        <is>
          <t>{0} 값은 필수 입력 항목입니다. ("Team")</t>
        </is>
      </c>
      <c r="E6" s="6" t="inlineStr">
        <is>
          <t>40 사업부 + DEPT_ID 컬럼 미표시 상태로 편집 진입 (L722)</t>
        </is>
      </c>
      <c r="F6" s="6" t="inlineStr">
        <is>
          <t>validate.ts</t>
        </is>
      </c>
    </row>
    <row r="7" ht="18" customHeight="1">
      <c r="A7" s="6" t="n">
        <v>2</v>
      </c>
      <c r="B7" s="6" t="inlineStr">
        <is>
          <t>편집</t>
        </is>
      </c>
      <c r="C7" s="6" t="inlineStr">
        <is>
          <t>MSG00113</t>
        </is>
      </c>
      <c r="D7" s="6" t="inlineStr">
        <is>
          <t>필수 입력 컬럼이 없습니다.</t>
        </is>
      </c>
      <c r="E7" s="6" t="inlineStr">
        <is>
          <t>40 + CELL_PROD_SITE_ID 컬럼 없음 [PJ2025-50017] (L726)</t>
        </is>
      </c>
      <c r="F7" s="6" t="inlineStr">
        <is>
          <t>validate.ts</t>
        </is>
      </c>
    </row>
    <row r="8" ht="45" customHeight="1">
      <c r="A8" s="6" t="n">
        <v>3</v>
      </c>
      <c r="B8" s="6" t="inlineStr">
        <is>
          <t>편집</t>
        </is>
      </c>
      <c r="C8" s="6" t="inlineStr">
        <is>
          <t>MSG00113</t>
        </is>
      </c>
      <c r="D8" s="6" t="inlineStr">
        <is>
          <t>필수 입력 컬럼이 없습니다.</t>
        </is>
      </c>
      <c r="E8" s="6" t="inlineStr">
        <is>
          <t>필수 컬럼 14종 OR 체인 누락 (DIVISION/PROJECT(≠40)/END_CUSTOMER(40·≠40)/SITE/ITEM/TEXT(81)/DomExp/FcstType/INCOTERMS/MEASURE/CURRENCY/DEPT(40)) (L730)</t>
        </is>
      </c>
      <c r="F8" s="6" t="inlineStr">
        <is>
          <t>validate.ts</t>
        </is>
      </c>
    </row>
    <row r="9" ht="30" customHeight="1">
      <c r="A9" s="6" t="n">
        <v>4</v>
      </c>
      <c r="B9" s="6" t="inlineStr">
        <is>
          <t>편집</t>
        </is>
      </c>
      <c r="C9" s="6" t="inlineStr">
        <is>
          <t>MSG00361</t>
        </is>
      </c>
      <c r="D9" s="6" t="inlineStr">
        <is>
          <t>[TODO] MSG_M 본문 결정 필요 (Daily 버킷 편집 불가)</t>
        </is>
      </c>
      <c r="E9" s="6" t="inlineStr">
        <is>
          <t>Daily 버킷 상태로 편집 진입 시도 (L1103) — Weekly/Monthly 만 편집</t>
        </is>
      </c>
      <c r="F9" s="6" t="inlineStr">
        <is>
          <t>validate.ts + MSG_M 본문 등록</t>
        </is>
      </c>
    </row>
    <row r="10" ht="30" customHeight="1">
      <c r="A10" s="6" t="n">
        <v>5</v>
      </c>
      <c r="B10" s="6" t="inlineStr">
        <is>
          <t>엑셀</t>
        </is>
      </c>
      <c r="C10" s="6" t="inlineStr">
        <is>
          <t>MSG00003</t>
        </is>
      </c>
      <c r="D10" s="6" t="inlineStr">
        <is>
          <t>저장에 실패하였습니다. (AS-IS: 실행중 에러 {0})</t>
        </is>
      </c>
      <c r="E10" s="6" t="inlineStr">
        <is>
          <t>레거시 ExportExcel Exception (L1434 — 현행 Simplexel 경로는 rethrow)</t>
        </is>
      </c>
      <c r="F10" s="6" t="inlineStr">
        <is>
          <t>공통 오류 toast</t>
        </is>
      </c>
    </row>
    <row r="11" ht="30" customHeight="1">
      <c r="A11" s="6" t="n">
        <v>6</v>
      </c>
      <c r="B11" s="6" t="inlineStr">
        <is>
          <t>조회</t>
        </is>
      </c>
      <c r="C11" s="6" t="inlineStr">
        <is>
          <t>MSG00137</t>
        </is>
      </c>
      <c r="D11" s="6" t="inlineStr">
        <is>
          <t>이전 작업이 아직 실행 중입니다. 잠시 후 다시 시도해주세요.</t>
        </is>
      </c>
      <c r="E11" s="6" t="inlineStr">
        <is>
          <t>blnWork=true 재진입 (L1460)</t>
        </is>
      </c>
      <c r="F11" s="6" t="inlineStr">
        <is>
          <t>isFetching 가드</t>
        </is>
      </c>
    </row>
    <row r="12" ht="18" customHeight="1">
      <c r="A12" s="6" t="n">
        <v>7</v>
      </c>
      <c r="B12" s="6" t="inlineStr">
        <is>
          <t>조회</t>
        </is>
      </c>
      <c r="C12" s="6" t="inlineStr">
        <is>
          <t>MSG00108</t>
        </is>
      </c>
      <c r="D12" s="6" t="inlineStr">
        <is>
          <t>조회 기간이 잘못되었습니다 (시작일 &gt; 종료일).</t>
        </is>
      </c>
      <c r="E12" s="6" t="inlineStr">
        <is>
          <t>기간 역전 (L1474)</t>
        </is>
      </c>
      <c r="F12" s="6" t="inlineStr">
        <is>
          <t>validate.ts</t>
        </is>
      </c>
    </row>
    <row r="13" ht="30" customHeight="1">
      <c r="A13" s="6" t="n">
        <v>8</v>
      </c>
      <c r="B13" s="6" t="inlineStr">
        <is>
          <t>조회</t>
        </is>
      </c>
      <c r="C13" s="6" t="inlineStr">
        <is>
          <t>MSG00164</t>
        </is>
      </c>
      <c r="D13" s="6" t="inlineStr">
        <is>
          <t>조회 기간은 3년 이내로 입력해주세요.</t>
        </is>
      </c>
      <c r="E13" s="6" t="inlineStr">
        <is>
          <t>기간 3년 초과 — Value2 자동 보정 후 차단 (L1481. 소스 주석은 "2년"이나 코드 = 3년)</t>
        </is>
      </c>
      <c r="F13" s="6" t="inlineStr">
        <is>
          <t>validate.ts</t>
        </is>
      </c>
    </row>
    <row r="14" ht="18" customHeight="1">
      <c r="A14" s="6" t="n">
        <v>9</v>
      </c>
      <c r="B14" s="6" t="inlineStr">
        <is>
          <t>조회</t>
        </is>
      </c>
      <c r="C14" s="6" t="inlineStr">
        <is>
          <t>(예외)</t>
        </is>
      </c>
      <c r="D14" s="6" t="inlineStr">
        <is>
          <t>GMessageBoxForException</t>
        </is>
      </c>
      <c r="E14" s="6" t="inlineStr">
        <is>
          <t>FindData 전 구간 예외 (L1618)</t>
        </is>
      </c>
      <c r="F14" s="6" t="inlineStr">
        <is>
          <t>공통 오류 toast</t>
        </is>
      </c>
    </row>
    <row r="15" ht="18" customHeight="1">
      <c r="A15" s="6" t="n">
        <v>10</v>
      </c>
      <c r="B15" s="6" t="inlineStr">
        <is>
          <t>저장</t>
        </is>
      </c>
      <c r="C15" s="6" t="inlineStr">
        <is>
          <t>MSG00137</t>
        </is>
      </c>
      <c r="D15" s="6" t="inlineStr">
        <is>
          <t>이전 작업이 아직 실행 중입니다.</t>
        </is>
      </c>
      <c r="E15" s="6" t="inlineStr">
        <is>
          <t>blnWork=true (L1933)</t>
        </is>
      </c>
      <c r="F15" s="6" t="inlineStr">
        <is>
          <t>isPending 가드</t>
        </is>
      </c>
    </row>
    <row r="16" ht="30" customHeight="1">
      <c r="A16" s="6" t="n">
        <v>11</v>
      </c>
      <c r="B16" s="6" t="inlineStr">
        <is>
          <t>저장</t>
        </is>
      </c>
      <c r="C16" s="6" t="inlineStr">
        <is>
          <t>MSG00113</t>
        </is>
      </c>
      <c r="D16" s="6" t="inlineStr">
        <is>
          <t>필수 입력 컬럼이 없습니다.</t>
        </is>
      </c>
      <c r="E16" s="6" t="inlineStr">
        <is>
          <t>필수 컬럼 13종 OR 체인 (편집과 동일하나 DomExp 제외) (L2024)</t>
        </is>
      </c>
      <c r="F16" s="6" t="inlineStr">
        <is>
          <t>validate.ts</t>
        </is>
      </c>
    </row>
    <row r="17" ht="60" customHeight="1">
      <c r="A17" s="6" t="n">
        <v>12</v>
      </c>
      <c r="B17" s="6" t="inlineStr">
        <is>
          <t>저장</t>
        </is>
      </c>
      <c r="C17" s="6" t="inlineStr">
        <is>
          <t>MSG00002</t>
        </is>
      </c>
      <c r="D17" s="6" t="inlineStr">
        <is>
          <t>{0} 값은 필수 입력입니다 (누락 필드명)</t>
        </is>
      </c>
      <c r="E17" s="6" t="inlineStr">
        <is>
          <t>I/M/D 행별 필수값 13종 division 분기 (L2239): Division/Project(≠40)/EndCustomer40(40)/Team(40, Catch_Up 제외)/TEXT(81)/Site/Model/Measure/Currency/Catch_Up 3종(DomExp·FcstType·Incoterms)/CellProdSite(40) + 해당 셀 포커스</t>
        </is>
      </c>
      <c r="F17" s="6" t="inlineStr">
        <is>
          <t>validate.ts (행·필드 포커스)</t>
        </is>
      </c>
    </row>
    <row r="18" ht="18" customHeight="1">
      <c r="A18" s="6" t="n">
        <v>13</v>
      </c>
      <c r="B18" s="6" t="inlineStr">
        <is>
          <t>저장</t>
        </is>
      </c>
      <c r="C18" s="6" t="inlineStr">
        <is>
          <t>MSG00002</t>
        </is>
      </c>
      <c r="D18" s="6" t="inlineStr">
        <is>
          <t>{0} 값은 필수 입력입니다 (CURRENCY)</t>
        </is>
      </c>
      <c r="E18" s="6" t="inlineStr">
        <is>
          <t>조립 루프 중 CURRENCY 빈값 (L2472)</t>
        </is>
      </c>
      <c r="F18" s="6" t="inlineStr">
        <is>
          <t>validate.ts</t>
        </is>
      </c>
    </row>
    <row r="19" ht="30" customHeight="1">
      <c r="A19" s="6" t="n">
        <v>14</v>
      </c>
      <c r="B19" s="6" t="inlineStr">
        <is>
          <t>저장</t>
        </is>
      </c>
      <c r="C19" s="6" t="inlineStr">
        <is>
          <t>MSG00085</t>
        </is>
      </c>
      <c r="D19" s="6" t="inlineStr">
        <is>
          <t>[TODO] MSG_M 본문 결정 필요 ({0} 이상의 값만 입력 가능)</t>
        </is>
      </c>
      <c r="E19" s="6" t="inlineStr">
        <is>
          <t>40 + Catch_Up + 음수 입력 (L2587)</t>
        </is>
      </c>
      <c r="F19" s="6" t="inlineStr">
        <is>
          <t>validate.ts + MSG_M 등록</t>
        </is>
      </c>
    </row>
    <row r="20" ht="30" customHeight="1">
      <c r="A20" s="6" t="n">
        <v>15</v>
      </c>
      <c r="B20" s="6" t="inlineStr">
        <is>
          <t>저장</t>
        </is>
      </c>
      <c r="C20" s="6" t="inlineStr">
        <is>
          <t>MSG00146</t>
        </is>
      </c>
      <c r="D20" s="6" t="inlineStr">
        <is>
          <t>[TODO] MSG_M 본문 결정 필요 (라인 [{0}] 변경 값 없음)</t>
        </is>
      </c>
      <c r="E20" s="6" t="inlineStr">
        <is>
          <t>I/M/D 행인데 변경(Red) 셀 0건 (L2666)</t>
        </is>
      </c>
      <c r="F20" s="6" t="inlineStr">
        <is>
          <t>validate.ts + MSG_M 등록</t>
        </is>
      </c>
    </row>
    <row r="21" ht="30" customHeight="1">
      <c r="A21" s="6" t="n">
        <v>16</v>
      </c>
      <c r="B21" s="6" t="inlineStr">
        <is>
          <t>저장</t>
        </is>
      </c>
      <c r="C21" s="6" t="inlineStr">
        <is>
          <t>(SP 반환)</t>
        </is>
      </c>
      <c r="D21" s="6" t="inlineStr">
        <is>
          <t>SP 메시지코드^추가메시지 → 코드별 표시</t>
        </is>
      </c>
      <c r="E21" s="6" t="inlineStr">
        <is>
          <t>SAVE SP 결과 != 'success' &amp; '^' 포함 [E20250520-000572] (L2782) — SP 내 중복체크 포함(구 fnValidation 이관분, MSG00043 계열)</t>
        </is>
      </c>
      <c r="F21" s="6" t="inlineStr">
        <is>
          <t>alert (SP CODE 분해)</t>
        </is>
      </c>
    </row>
    <row r="22" ht="18" customHeight="1">
      <c r="A22" s="6" t="n">
        <v>17</v>
      </c>
      <c r="B22" s="6" t="inlineStr">
        <is>
          <t>저장</t>
        </is>
      </c>
      <c r="C22" s="6" t="inlineStr">
        <is>
          <t>(인라인)</t>
        </is>
      </c>
      <c r="D22" s="6" t="inlineStr">
        <is>
          <t>MessageBox "Error!" (SP 원문)</t>
        </is>
      </c>
      <c r="E22" s="6" t="inlineStr">
        <is>
          <t>결과 != 'success' &amp; '^' 미포함 (L2788)</t>
        </is>
      </c>
      <c r="F22" s="6" t="inlineStr">
        <is>
          <t>공통 오류 alert</t>
        </is>
      </c>
    </row>
    <row r="23" ht="30" customHeight="1">
      <c r="A23" s="6" t="n">
        <v>18</v>
      </c>
      <c r="B23" s="6" t="inlineStr">
        <is>
          <t>저장</t>
        </is>
      </c>
      <c r="C23" s="6" t="inlineStr">
        <is>
          <t>MSG00004</t>
        </is>
      </c>
      <c r="D23" s="6" t="inlineStr">
        <is>
          <t>수정한 내용이 없습니다. (AS-IS 용법: {0}건 저장 완료 안내)</t>
        </is>
      </c>
      <c r="E23" s="6" t="inlineStr">
        <is>
          <t>결과 == 'success' → iCUD 건수 안내 + 재조회(Insert 유 전체/무 셀 위치 복원) (L2794)</t>
        </is>
      </c>
      <c r="F23" s="6" t="inlineStr">
        <is>
          <t>toast + invalidate</t>
        </is>
      </c>
    </row>
    <row r="24" ht="30" customHeight="1">
      <c r="A24" s="6" t="n">
        <v>19</v>
      </c>
      <c r="B24" s="6" t="inlineStr">
        <is>
          <t>기타</t>
        </is>
      </c>
      <c r="C24" s="6" t="inlineStr">
        <is>
          <t>MSG00227</t>
        </is>
      </c>
      <c r="D24" s="6" t="inlineStr">
        <is>
          <t>Insert 된 행이 있어 Bucket 을 변경할 수 없습니다. (AS-IS: 편집모드 전체)</t>
        </is>
      </c>
      <c r="E24" s="6" t="inlineStr">
        <is>
          <t>편집모드(비잠금) 중 Bucket 콤보 클릭 (L5475)</t>
        </is>
      </c>
      <c r="F24" s="6" t="inlineStr">
        <is>
          <t>validate.ts (EDITING_BUCKET_LOCK)</t>
        </is>
      </c>
    </row>
    <row r="25" ht="30" customHeight="1">
      <c r="A25" s="6" t="n">
        <v>20</v>
      </c>
      <c r="B25" s="6" t="inlineStr">
        <is>
          <t>편집(참고)</t>
        </is>
      </c>
      <c r="C25" s="6" t="inlineStr">
        <is>
          <t>MSG00109</t>
        </is>
      </c>
      <c r="D25" s="6" t="inlineStr">
        <is>
          <t>읽기전용 상태입니다.</t>
        </is>
      </c>
      <c r="E25" s="6" t="inlineStr">
        <is>
          <t>(주석화 — 40 사업부 편집 차단 분기 제거됨 [PJ2024-50611]. 현재 전 사업부 편집 가능)</t>
        </is>
      </c>
      <c r="F25" s="6" t="inlineStr">
        <is>
          <t>미적용 (비활성 명기)</t>
        </is>
      </c>
    </row>
    <row r="27" ht="20" customHeight="1">
      <c r="A27" s="4" t="inlineStr">
        <is>
          <t>Silent 검증 — 메시지 없는 차단/치환 38건 (요약 — 상세 라인은 AS-IS 추출 원장)</t>
        </is>
      </c>
    </row>
    <row r="28">
      <c r="A28" s="5" t="inlineStr">
        <is>
          <t>No</t>
        </is>
      </c>
      <c r="B28" s="5" t="inlineStr">
        <is>
          <t>위치</t>
        </is>
      </c>
      <c r="C28" s="5" t="inlineStr">
        <is>
          <t>구분</t>
        </is>
      </c>
      <c r="D28" s="5" t="inlineStr">
        <is>
          <t>동작</t>
        </is>
      </c>
      <c r="E28" s="5" t="inlineStr">
        <is>
          <t>조건</t>
        </is>
      </c>
      <c r="F28" s="5" t="inlineStr">
        <is>
          <t>TO-BE (제안)</t>
        </is>
      </c>
    </row>
    <row r="29" ht="30" customHeight="1">
      <c r="A29" s="6" t="n">
        <v>1</v>
      </c>
      <c r="B29" s="6" t="inlineStr">
        <is>
          <t>조회</t>
        </is>
      </c>
      <c r="C29" s="6" t="inlineStr">
        <is>
          <t>silent</t>
        </is>
      </c>
      <c r="D29" s="6" t="inlineStr">
        <is>
          <t>빈 그리드 (무통보 종료)</t>
        </is>
      </c>
      <c r="E29" s="6" t="inlineStr">
        <is>
          <t>조회 결과 0건 (L1563)</t>
        </is>
      </c>
      <c r="F29" s="6" t="inlineStr">
        <is>
          <t>빈 그리드 표시 (동일)</t>
        </is>
      </c>
    </row>
    <row r="30" ht="18" customHeight="1">
      <c r="A30" s="6" t="n">
        <v>2</v>
      </c>
      <c r="B30" s="6" t="inlineStr">
        <is>
          <t>삭제</t>
        </is>
      </c>
      <c r="C30" s="6" t="inlineStr">
        <is>
          <t>silent</t>
        </is>
      </c>
      <c r="D30" s="6" t="inlineStr">
        <is>
          <t>삭제 무반응</t>
        </is>
      </c>
      <c r="E30" s="6" t="inlineStr">
        <is>
          <t>Action=I 아닌 행 (L675)</t>
        </is>
      </c>
      <c r="F30" s="6" t="inlineStr">
        <is>
          <t>I 행 가드</t>
        </is>
      </c>
    </row>
    <row r="31" ht="30" customHeight="1">
      <c r="A31" s="6" t="n">
        <v>3</v>
      </c>
      <c r="B31" s="6" t="inlineStr">
        <is>
          <t>행추가</t>
        </is>
      </c>
      <c r="C31" s="6" t="inlineStr">
        <is>
          <t>silent</t>
        </is>
      </c>
      <c r="D31" s="6" t="inlineStr">
        <is>
          <t>Insert 무반응</t>
        </is>
      </c>
      <c r="E31" s="6" t="inlineStr">
        <is>
          <t>EDIT_AUTH_SalesAmt_LOC≠Y (L2854) / 비편집모드 (L2860)</t>
        </is>
      </c>
      <c r="F31" s="6" t="inlineStr">
        <is>
          <t>버튼 disable + 권한 조회</t>
        </is>
      </c>
    </row>
    <row r="32" ht="30" customHeight="1">
      <c r="A32" s="6" t="n">
        <v>4</v>
      </c>
      <c r="B32" s="6" t="inlineStr">
        <is>
          <t>저장</t>
        </is>
      </c>
      <c r="C32" s="6" t="inlineStr">
        <is>
          <t>silent skip</t>
        </is>
      </c>
      <c r="D32" s="6" t="inlineStr">
        <is>
          <t>D_ 컬럼 / 비Red 셀 / 버킷 불일치(W_↔M_) 셀 수집 제외</t>
        </is>
      </c>
      <c r="E32" s="6" t="inlineStr">
        <is>
          <t>조립 루프 (L2514~2537)</t>
        </is>
      </c>
      <c r="F32" s="6" t="inlineStr">
        <is>
          <t>payload 조립 규칙 (hook #99)</t>
        </is>
      </c>
    </row>
    <row r="33" ht="30" customHeight="1">
      <c r="A33" s="6" t="n">
        <v>5</v>
      </c>
      <c r="B33" s="6" t="inlineStr">
        <is>
          <t>저장</t>
        </is>
      </c>
      <c r="C33" s="6" t="inlineStr">
        <is>
          <t>silent 치환</t>
        </is>
      </c>
      <c r="D33" s="6" t="inlineStr">
        <is>
          <t>빈값→'0' 치환 [E20251125-000694] + 값 '0' &amp; action≠D → 셀 action 'D' 전환</t>
        </is>
      </c>
      <c r="E33" s="6" t="inlineStr">
        <is>
          <t>L2553~2572</t>
        </is>
      </c>
      <c r="F33" s="6" t="inlineStr">
        <is>
          <t>payload 조립 규칙</t>
        </is>
      </c>
    </row>
    <row r="34" ht="30" customHeight="1">
      <c r="A34" s="6" t="n">
        <v>6</v>
      </c>
      <c r="B34" s="6" t="inlineStr">
        <is>
          <t>편집</t>
        </is>
      </c>
      <c r="C34" s="6" t="inlineStr">
        <is>
          <t>silent 롤백</t>
        </is>
      </c>
      <c r="D34" s="6" t="inlineStr">
        <is>
          <t>MEASURE 빈 행 숫자 입력 → 값 롤백 / D_ 입력 무효 / 잠금셀·음수 인덱스 가드</t>
        </is>
      </c>
      <c r="E34" s="6" t="inlineStr">
        <is>
          <t>Dsdm_Changed (L3937~3945)</t>
        </is>
      </c>
      <c r="F34" s="6" t="inlineStr">
        <is>
          <t>cellEditEnded 가드</t>
        </is>
      </c>
    </row>
    <row r="35" ht="30" customHeight="1">
      <c r="A35" s="6" t="n">
        <v>7</v>
      </c>
      <c r="B35" s="6" t="inlineStr">
        <is>
          <t>편집</t>
        </is>
      </c>
      <c r="C35" s="6" t="inlineStr">
        <is>
          <t>silent 차단</t>
        </is>
      </c>
      <c r="D35" s="6" t="inlineStr">
        <is>
          <t>RTF_SYS_RP 음수 입력 → 값 삭제 (FcstType=RMA 만 음수 허용) + 소수점 절삭(정수 강제)</t>
        </is>
      </c>
      <c r="E35" s="6" t="inlineStr">
        <is>
          <t>LeaveCell (L4358~4395) [PJ2025-50017]</t>
        </is>
      </c>
      <c r="F35" s="6" t="inlineStr">
        <is>
          <t>validate.ts</t>
        </is>
      </c>
    </row>
    <row r="36" ht="30" customHeight="1">
      <c r="A36" s="6" t="n">
        <v>8</v>
      </c>
      <c r="B36" s="6" t="inlineStr">
        <is>
          <t>팝업</t>
        </is>
      </c>
      <c r="C36" s="6" t="inlineStr">
        <is>
          <t>silent</t>
        </is>
      </c>
      <c r="D36" s="6" t="inlineStr">
        <is>
          <t>Project 팝업 미호출(40) / 셀 팝업 I 행 아니면 차단 / 팝업 빈 반환 무시</t>
        </is>
      </c>
      <c r="E36" s="6" t="inlineStr">
        <is>
          <t>L3491, L3797, L3904</t>
        </is>
      </c>
      <c r="F36" s="6" t="inlineStr">
        <is>
          <t>모달 가드</t>
        </is>
      </c>
    </row>
    <row r="37" ht="30" customHeight="1">
      <c r="A37" s="6" t="n">
        <v>9</v>
      </c>
      <c r="B37" s="6" t="inlineStr">
        <is>
          <t>콤보</t>
        </is>
      </c>
      <c r="C37" s="6" t="inlineStr">
        <is>
          <t>silent</t>
        </is>
      </c>
      <c r="D37" s="6" t="inlineStr">
        <is>
          <t>편집모드 아닐 때 cascade 미수행 / 미존재 모델코드 무시</t>
        </is>
      </c>
      <c r="E37" s="6" t="inlineStr">
        <is>
          <t>ComboSelChange (L4492, L4745)</t>
        </is>
      </c>
      <c r="F37" s="6" t="inlineStr">
        <is>
          <t>beginningEdit 가드</t>
        </is>
      </c>
    </row>
    <row r="38" ht="45" customHeight="1">
      <c r="A38" s="6" t="n">
        <v>10</v>
      </c>
      <c r="B38" s="6" t="inlineStr">
        <is>
          <t>기타</t>
        </is>
      </c>
      <c r="C38" s="6" t="inlineStr">
        <is>
          <t>null guard 등</t>
        </is>
      </c>
      <c r="D38" s="6" t="inlineStr">
        <is>
          <t>재진입 가드(Division 변경 L5100 — 메시지 주석) / Ctrl+C·V 키영역 가드(L5431) / siMain null 가드 5곳 / Excel fps·시트 가드 / Draw 데이터 위치 가드</t>
        </is>
      </c>
      <c r="E38" s="6" t="inlineStr">
        <is>
          <t>각 핸들러</t>
        </is>
      </c>
      <c r="F38" s="6" t="inlineStr">
        <is>
          <t>(프레임워크 대체)</t>
        </is>
      </c>
    </row>
    <row r="39">
      <c r="A39" s="2" t="inlineStr">
        <is>
          <t>※ Silent 38건 상세(라인 단위)는 AS-IS 전수 추출 원장 기준 — 본 표는 10그룹 요약. 계수: 메시지 20 + silent 38 = 활성 58.</t>
        </is>
      </c>
    </row>
    <row r="41" ht="20" customHeight="1">
      <c r="A41" s="4" t="inlineStr">
        <is>
          <t>편집 잠금(Lock) 규칙 — 22건 (Expression 과 연동, TO-BE editLock 매핑 필수)</t>
        </is>
      </c>
    </row>
    <row r="42">
      <c r="A42" s="5" t="inlineStr">
        <is>
          <t>No</t>
        </is>
      </c>
      <c r="B42" s="5" t="inlineStr">
        <is>
          <t>위치</t>
        </is>
      </c>
      <c r="C42" s="5" t="inlineStr">
        <is>
          <t>규칙</t>
        </is>
      </c>
      <c r="D42" s="5" t="inlineStr"/>
      <c r="E42" s="5" t="inlineStr"/>
      <c r="F42" s="5" t="inlineStr">
        <is>
          <t>TO-BE (제안)</t>
        </is>
      </c>
    </row>
    <row r="43" ht="120" customHeight="1">
      <c r="A43" s="6" t="n">
        <v>1</v>
      </c>
      <c r="B43" s="6" t="inlineStr">
        <is>
          <t>EditButton</t>
        </is>
      </c>
      <c r="C43" s="6" t="inlineStr">
        <is>
          <t>진입 시 전체 잠금 후 선별 해제. 대상 행 = SALES_PLAN_ADJUST_YN=N_Y + Measure(SalesAmt_LOC 권한/Catch_Up/RTF_SYS_RP 권한)</t>
        </is>
      </c>
      <c r="D43" s="6" t="inlineStr"/>
      <c r="E43" s="6" t="inlineStr"/>
      <c r="F43" s="6" t="inlineStr">
        <is>
          <t>editLock (행 필터)</t>
        </is>
      </c>
    </row>
    <row r="44" ht="105" customHeight="1">
      <c r="A44" s="6" t="n">
        <v>2</v>
      </c>
      <c r="B44" s="6" t="inlineStr">
        <is>
          <t>EditButton</t>
        </is>
      </c>
      <c r="C44" s="6" t="inlineStr">
        <is>
          <t>편집 시작: M_ = 40 당월부터(≤) / 비40 익월부터(&lt;). W_ = 당주부터. 과거~과거 조회 = 행 전체 불가</t>
        </is>
      </c>
      <c r="D44" s="6" t="inlineStr"/>
      <c r="E44" s="6" t="inlineStr"/>
      <c r="F44" s="6" t="inlineStr">
        <is>
          <t>editLock (컬럼 cutoff)</t>
        </is>
      </c>
    </row>
    <row r="45" ht="60" customHeight="1">
      <c r="A45" s="6" t="n">
        <v>3</v>
      </c>
      <c r="B45" s="6" t="inlineStr">
        <is>
          <t>EditButton</t>
        </is>
      </c>
      <c r="C45" s="6" t="inlineStr">
        <is>
          <t>Catch_Up(40) = M+3 이후 버킷만 / RTF_SYS_RP+Monthly = 당월 잠금</t>
        </is>
      </c>
      <c r="D45" s="6" t="inlineStr"/>
      <c r="E45" s="6" t="inlineStr"/>
      <c r="F45" s="6" t="inlineStr">
        <is>
          <t>editLock</t>
        </is>
      </c>
    </row>
    <row r="46" ht="90" customHeight="1">
      <c r="A46" s="6" t="n">
        <v>4</v>
      </c>
      <c r="B46" s="6" t="inlineStr">
        <is>
          <t>공통</t>
        </is>
      </c>
      <c r="C46" s="6" t="inlineStr">
        <is>
          <t>버킷 교차 잠금: Monthly 모드 → W_ 잠금 / Weekly 모드 → M_ 잠금 / D_ 항상 잠금</t>
        </is>
      </c>
      <c r="D46" s="6" t="inlineStr"/>
      <c r="E46" s="6" t="inlineStr"/>
      <c r="F46" s="6" t="inlineStr">
        <is>
          <t>editLock</t>
        </is>
      </c>
    </row>
    <row r="47" ht="120" customHeight="1">
      <c r="A47" s="6" t="n">
        <v>5</v>
      </c>
      <c r="B47" s="6" t="inlineStr">
        <is>
          <t>InsertRow</t>
        </is>
      </c>
      <c r="C47" s="6" t="inlineStr">
        <is>
          <t>신규 행: DIVISION 자동+잠금 / DEPT 40만 / MEASURE 40만(기본 SalesAmt_LOC) / FCST_TYPE=ETC 고정 / 참조컬럼 58종 잠금 / 기간 잠금 규칙 10종 (#59~68)</t>
        </is>
      </c>
      <c r="D47" s="6" t="inlineStr"/>
      <c r="E47" s="6" t="inlineStr"/>
      <c r="F47" s="6" t="inlineStr">
        <is>
          <t>insert 행 초기값+editLock</t>
        </is>
      </c>
    </row>
    <row r="48" ht="120" customHeight="1">
      <c r="A48" s="6" t="n">
        <v>6</v>
      </c>
      <c r="B48" s="6" t="inlineStr">
        <is>
          <t>ComboSelChange</t>
        </is>
      </c>
      <c r="C48" s="6" t="inlineStr">
        <is>
          <t>MEASURE 전환 24 규칙: Catch_Up(DomExp·Incoterms·FcstType 개방/Team 잠금/M+3) ↔ SalesAmt_LOC(ETC 고정/Team 개방/M+1·당월) + 기존 입력 전체 초기화</t>
        </is>
      </c>
      <c r="D48" s="6" t="inlineStr"/>
      <c r="E48" s="6" t="inlineStr"/>
      <c r="F48" s="6" t="inlineStr">
        <is>
          <t>cellEditEnded cascade + editLock 재계산</t>
        </is>
      </c>
    </row>
    <row r="49">
      <c r="A49" s="2" t="inlineStr">
        <is>
          <t>※ Lock 규칙 상세 105건(LockRange 활성)은 시트 4.GRID 동적 컬럼 규칙 + AS-IS 추출 원장 참조. 위 6행 = 22규칙 압축.</t>
        </is>
      </c>
    </row>
    <row r="51" ht="20" customHeight="1">
      <c r="A51" s="4" t="inlineStr">
        <is>
          <t>기존 문서 대비 정합 (Cross-check 결과)</t>
        </is>
      </c>
    </row>
    <row r="52">
      <c r="A52" s="5" t="inlineStr">
        <is>
          <t>구분</t>
        </is>
      </c>
      <c r="B52" s="5" t="inlineStr">
        <is>
          <t>기존 문서</t>
        </is>
      </c>
      <c r="C52" s="5" t="inlineStr">
        <is>
          <t>본 분석서</t>
        </is>
      </c>
      <c r="D52" s="5" t="inlineStr">
        <is>
          <t>차이 원인</t>
        </is>
      </c>
      <c r="E52" s="5" t="inlineStr"/>
      <c r="F52" s="5" t="inlineStr"/>
    </row>
    <row r="53" ht="60" customHeight="1">
      <c r="A53" s="6" t="inlineStr">
        <is>
          <t>Validation</t>
        </is>
      </c>
      <c r="B53" s="6" t="inlineStr">
        <is>
          <t>validation.md / 27_DM xlsx 11시트 = 141건</t>
        </is>
      </c>
      <c r="C53" s="6" t="inlineStr">
        <is>
          <t>활성 58 (메시지 20 + silent 38) + 잠금규칙 22 + 비활성(주석) 11</t>
        </is>
      </c>
      <c r="D53" s="6" t="inlineStr">
        <is>
          <t>계수 방식 차이 — 문서는 분기문/OR 조건 1줄=1건 (사업부분기 73건 포함). 라인번호는 동일 정본 기준으로 일치</t>
        </is>
      </c>
      <c r="E53" s="6" t="inlineStr"/>
      <c r="F53" s="6" t="inlineStr"/>
    </row>
    <row r="54" ht="90" customHeight="1">
      <c r="A54" s="6" t="inlineStr">
        <is>
          <t>문서 오류</t>
        </is>
      </c>
      <c r="B54" s="6" t="inlineStr">
        <is>
          <t>주석처리 코드 10건 활성 오계수 (MSG00109/00043/00428, MessageBox 2, MSG00002 2, MSG00227 L5483 등)</t>
        </is>
      </c>
      <c r="C54" s="6" t="inlineStr">
        <is>
          <t>비활성 인벤토리로 분리</t>
        </is>
      </c>
      <c r="D54" s="6" t="inlineStr">
        <is>
          <t>fnValidation(중복체크)은 dead — SP 이관 [PJ2024-50611]</t>
        </is>
      </c>
      <c r="E54" s="6" t="inlineStr"/>
      <c r="F54" s="6" t="inlineStr"/>
    </row>
    <row r="55" ht="75" customHeight="1">
      <c r="A55" s="6" t="inlineStr">
        <is>
          <t>문서 누락</t>
        </is>
      </c>
      <c r="B55" s="6" t="inlineStr">
        <is>
          <t>SP 동적 메시지(L2782)/Exception(L1618)/RTF_SYS_RP 음수·절삭/빈값→0→D 등 22건+</t>
        </is>
      </c>
      <c r="C55" s="6" t="inlineStr">
        <is>
          <t>본 분석서 반영</t>
        </is>
      </c>
      <c r="D55" s="6" t="inlineStr">
        <is>
          <t>2025-05 이후 소스 변경분 [E20250520-000572]/[E20251125-000694]/[PJ2025-50017] 문서 미갱신</t>
        </is>
      </c>
      <c r="E55" s="6" t="inlineStr"/>
      <c r="F55" s="6" t="inlineStr"/>
    </row>
    <row r="56" ht="45" customHeight="1">
      <c r="A56" s="6" t="inlineStr">
        <is>
          <t>MSG 문구</t>
        </is>
      </c>
      <c r="B56" s="6" t="inlineStr">
        <is>
          <t>MSG00113/00137/00108/00004 문구 오류</t>
        </is>
      </c>
      <c r="C56" s="6" t="inlineStr">
        <is>
          <t>사내 MSG_M 실측 문구 채택 + AS-IS 용법 병기</t>
        </is>
      </c>
      <c r="D56" s="6" t="inlineStr">
        <is>
          <t>MSG00085/00146/00361/00428 은 사내 MSG_M [TODO] placeholder — 본문 결정 필요</t>
        </is>
      </c>
      <c r="E56" s="6" t="inlineStr"/>
      <c r="F56" s="6" t="inlineStr"/>
    </row>
  </sheetData>
  <mergeCells count="5">
    <mergeCell ref="A41:F41"/>
    <mergeCell ref="A51:F51"/>
    <mergeCell ref="A27:F27"/>
    <mergeCell ref="A4:F4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40" customWidth="1" min="3" max="3"/>
    <col width="12" customWidth="1" min="4" max="4"/>
    <col width="40" customWidth="1" min="5" max="5"/>
  </cols>
  <sheetData>
    <row r="1" ht="21" customHeight="1">
      <c r="A1" s="1" t="inlineStr">
        <is>
          <t>7. API · PKG · SP — 실측 + 등록 필요 목록</t>
        </is>
      </c>
    </row>
    <row r="2">
      <c r="A2" s="2" t="inlineStr">
        <is>
          <t>DMF0021 Sales Plan · UI 분석서 v1.0 · 2026-07-09 (hook #105 11시트)</t>
        </is>
      </c>
    </row>
    <row r="3" ht="28" customHeight="1">
      <c r="A3" s="3" t="inlineStr">
        <is>
          <t>📖 읽는 법 — 화면이 부르는 서버 기능(SP). ⚠ API_M/PROC_M 미등록(레거시 화면).</t>
        </is>
      </c>
    </row>
    <row r="4" ht="20" customHeight="1">
      <c r="A4" s="4" t="inlineStr">
        <is>
          <t>API_M 실측 (API_ID LIKE 'DMF0021%') = 0건 — ⚠ 미등록. 구현 시 등록 필요 목록 (DMF0003 패턴 준용 제안)</t>
        </is>
      </c>
    </row>
    <row r="5">
      <c r="A5" s="5" t="inlineStr">
        <is>
          <t>No</t>
        </is>
      </c>
      <c r="B5" s="5" t="inlineStr">
        <is>
          <t>API_ID (제안)</t>
        </is>
      </c>
      <c r="C5" s="5" t="inlineStr">
        <is>
          <t>API_URL (SP)</t>
        </is>
      </c>
      <c r="D5" s="5" t="inlineStr">
        <is>
          <t>USE_YN</t>
        </is>
      </c>
      <c r="E5" s="5" t="inlineStr">
        <is>
          <t>비고</t>
        </is>
      </c>
    </row>
    <row r="6" ht="18" customHeight="1">
      <c r="A6" s="6" t="n">
        <v>1</v>
      </c>
      <c r="B6" s="6" t="inlineStr">
        <is>
          <t>DMF0021_main_SEARCH</t>
        </is>
      </c>
      <c r="C6" s="6" t="inlineStr">
        <is>
          <t>DMF0021_GET_DM_PLN_SALES_PLAN_DATAEX</t>
        </is>
      </c>
      <c r="D6" s="6" t="inlineStr">
        <is>
          <t>(등록 필요)</t>
        </is>
      </c>
      <c r="E6" s="6" t="inlineStr">
        <is>
          <t>메인 조회 (18 param)</t>
        </is>
      </c>
    </row>
    <row r="7" ht="18" customHeight="1">
      <c r="A7" s="6" t="n">
        <v>2</v>
      </c>
      <c r="B7" s="6" t="inlineStr">
        <is>
          <t>DMF0021_main_SAVE</t>
        </is>
      </c>
      <c r="C7" s="6" t="inlineStr">
        <is>
          <t>DMF0021_SAVE_DM_PLN_SALES_PLAN_ALL</t>
        </is>
      </c>
      <c r="D7" s="6" t="inlineStr">
        <is>
          <t>(등록 필요)</t>
        </is>
      </c>
      <c r="E7" s="6" t="inlineStr">
        <is>
          <t>저장 ('^' bulk 18 param)</t>
        </is>
      </c>
    </row>
    <row r="8" ht="30" customHeight="1">
      <c r="A8" s="6" t="n">
        <v>3</v>
      </c>
      <c r="B8" s="6" t="inlineStr">
        <is>
          <t>DMF0021_main_INSERT / DELETE / EXCEL / SORT / FILTER / COLUMN_SETUP / MEASURE_SELECT</t>
        </is>
      </c>
      <c r="C8" s="6" t="inlineStr">
        <is>
          <t>DMF0021_GET_DM_PLN_SALES_PLAN_DATAEX</t>
        </is>
      </c>
      <c r="D8" s="6" t="inlineStr">
        <is>
          <t>(등록 필요)</t>
        </is>
      </c>
      <c r="E8" s="6" t="inlineStr">
        <is>
          <t>공통버튼 세트 — DMF0003 은 버튼별 GET SP 로 등록 (7건)</t>
        </is>
      </c>
    </row>
    <row r="9" ht="18" customHeight="1">
      <c r="A9" s="6" t="n">
        <v>4</v>
      </c>
      <c r="B9" s="6" t="inlineStr">
        <is>
          <t>DMF0021_spreadTitle_SEARCH</t>
        </is>
      </c>
      <c r="C9" s="6" t="inlineStr">
        <is>
          <t>DMF0021_GET_SPREAD_TITLE</t>
        </is>
      </c>
      <c r="D9" s="6" t="inlineStr">
        <is>
          <t>(등록 필요)</t>
        </is>
      </c>
      <c r="E9" s="6" t="inlineStr">
        <is>
          <t>동적 3단 헤더 (5 param)</t>
        </is>
      </c>
    </row>
    <row r="10" ht="18" customHeight="1">
      <c r="A10" s="6" t="n">
        <v>5</v>
      </c>
      <c r="B10" s="6" t="inlineStr">
        <is>
          <t>DMF0021_measureInfo_SEARCH</t>
        </is>
      </c>
      <c r="C10" s="6" t="inlineStr">
        <is>
          <t>DMF0021_GET_SALES_PLAN_MEASUREINFO</t>
        </is>
      </c>
      <c r="D10" s="6" t="inlineStr">
        <is>
          <t>(등록 필요)</t>
        </is>
      </c>
      <c r="E10" s="6" t="inlineStr">
        <is>
          <t>Insert 행 Measure 콤보</t>
        </is>
      </c>
    </row>
    <row r="11" ht="18" customHeight="1">
      <c r="A11" s="6" t="n">
        <v>6</v>
      </c>
      <c r="B11" s="6" t="inlineStr">
        <is>
          <t>DMF0021_titleSet_SEARCH / _SAVE</t>
        </is>
      </c>
      <c r="C11" s="6" t="inlineStr">
        <is>
          <t>DMF0002_GET_TITLESET_POPUP / PKG_SCM0002.P_SCM0002_SET_TITLESET_POPUP</t>
        </is>
      </c>
      <c r="D11" s="6" t="inlineStr">
        <is>
          <t>(등록 필요)</t>
        </is>
      </c>
      <c r="E11" s="6" t="inlineStr">
        <is>
          <t>Column/Measure Set 공용 모달 (DMF0003 선례)</t>
        </is>
      </c>
    </row>
    <row r="13" ht="20" customHeight="1">
      <c r="A13" s="4" t="inlineStr">
        <is>
          <t>PROC_M 실측 (PROC_NM LIKE '%DMF0021%') = 0건 — ⚠ 미등록 (행수·SORT_ORD = SP positional 일치 의무)</t>
        </is>
      </c>
    </row>
    <row r="14">
      <c r="A14" s="5" t="inlineStr">
        <is>
          <t>No</t>
        </is>
      </c>
      <c r="B14" s="5" t="inlineStr">
        <is>
          <t>PROC_NM (등록 필요)</t>
        </is>
      </c>
      <c r="C14" s="5" t="inlineStr">
        <is>
          <t>SP 파라미터 (AS-IS 실측)</t>
        </is>
      </c>
      <c r="D14" s="5" t="inlineStr"/>
      <c r="E14" s="5" t="inlineStr">
        <is>
          <t>비고</t>
        </is>
      </c>
    </row>
    <row r="15" ht="45" customHeight="1">
      <c r="A15" s="6" t="n">
        <v>1</v>
      </c>
      <c r="B15" s="6" t="inlineStr">
        <is>
          <t>DMF0021_GET_DM_PLN_SALES_PLAN_DATAEX</t>
        </is>
      </c>
      <c r="C15" s="6" t="inlineStr">
        <is>
          <t>18 IN (division/dept/end_customer/scm_site/project/item/item_type/from/now/to/created_by/plant_site/biztype/userinfo/owner/internal_yn/bucket/user_dept_id) + OUT 커서 3 (데이터/기준일/편집권한)</t>
        </is>
      </c>
      <c r="D15" s="6" t="inlineStr"/>
      <c r="E15" s="6" t="inlineStr">
        <is>
          <t>sesUserId/mnuId BE 자동 주입 규약 적용</t>
        </is>
      </c>
    </row>
    <row r="16" ht="45" customHeight="1">
      <c r="A16" s="6" t="n">
        <v>2</v>
      </c>
      <c r="B16" s="6" t="inlineStr">
        <is>
          <t>DMF0021_SAVE_DM_PLN_SALES_PLAN_ALL</t>
        </is>
      </c>
      <c r="C16" s="6" t="inlineStr">
        <is>
          <t>18 IN ('^' bulk: active_flag/division/project/scm_site/plant_site/item/dom_exp/fcst_type/incoterms/measure/yyyymmdd/qty/currency/created_by/last_updated_by/text/dept_id/cell_prod_site_id)</t>
        </is>
      </c>
      <c r="D16" s="6" t="inlineStr"/>
      <c r="E16" s="6" t="inlineStr">
        <is>
          <t>결과 = 'success' 또는 '메시지코드^추가메시지'</t>
        </is>
      </c>
    </row>
    <row r="17" ht="18" customHeight="1">
      <c r="A17" s="6" t="n">
        <v>3</v>
      </c>
      <c r="B17" s="6" t="inlineStr">
        <is>
          <t>DMF0021_GET_SPREAD_TITLE</t>
        </is>
      </c>
      <c r="C17" s="6" t="inlineStr">
        <is>
          <t>5 IN (start/end/created_by/division/bucket)</t>
        </is>
      </c>
      <c r="D17" s="6" t="inlineStr"/>
      <c r="E17" s="6" t="inlineStr">
        <is>
          <t>3단 헤더 메타</t>
        </is>
      </c>
    </row>
    <row r="18" ht="18" customHeight="1">
      <c r="A18" s="6" t="n">
        <v>4</v>
      </c>
      <c r="B18" s="6" t="inlineStr">
        <is>
          <t>DMF0021_GET_SALES_PLAN_MEASUREINFO</t>
        </is>
      </c>
      <c r="C18" s="6" t="inlineStr">
        <is>
          <t>0 IN</t>
        </is>
      </c>
      <c r="D18" s="6" t="inlineStr"/>
      <c r="E18" s="6" t="inlineStr">
        <is>
          <t>Measure 콤보</t>
        </is>
      </c>
    </row>
    <row r="19" ht="30" customHeight="1">
      <c r="A19" s="6" t="n">
        <v>5</v>
      </c>
      <c r="B19" s="6" t="inlineStr">
        <is>
          <t>(PKG_DMF0003.P_DMF0003_GET_BUCKET_TYPE_CODE / PR_GET_DAY_RANGE)</t>
        </is>
      </c>
      <c r="C19" s="6" t="inlineStr">
        <is>
          <t>기존 등록 재사용 (DMF0003 PROC_M 참조)</t>
        </is>
      </c>
      <c r="D19" s="6" t="inlineStr"/>
      <c r="E19" s="6" t="inlineStr">
        <is>
          <t>Bucket 콤보 / 기간 기본값</t>
        </is>
      </c>
    </row>
    <row r="21" ht="20" customHeight="1">
      <c r="A21" s="4" t="inlineStr">
        <is>
          <t>Oracle 오브젝트 실측 (USER_OBJECTS, 2026-07-05) — SP 변환 착수 상태</t>
        </is>
      </c>
    </row>
    <row r="22">
      <c r="A22" s="5" t="inlineStr">
        <is>
          <t>No</t>
        </is>
      </c>
      <c r="B22" s="5" t="inlineStr">
        <is>
          <t>오브젝트</t>
        </is>
      </c>
      <c r="C22" s="5" t="inlineStr">
        <is>
          <t>타입</t>
        </is>
      </c>
      <c r="D22" s="5" t="inlineStr">
        <is>
          <t>상태</t>
        </is>
      </c>
      <c r="E22" s="5" t="inlineStr">
        <is>
          <t>비고</t>
        </is>
      </c>
    </row>
    <row r="23" ht="30" customHeight="1">
      <c r="A23" s="6" t="n">
        <v>1</v>
      </c>
      <c r="B23" s="6" t="inlineStr">
        <is>
          <t>PKG_DMF0021</t>
        </is>
      </c>
      <c r="C23" s="6" t="inlineStr">
        <is>
          <t>PACKAGE / PACKAGE BODY</t>
        </is>
      </c>
      <c r="D23" s="6" t="inlineStr">
        <is>
          <t>spec VALID / body INVALID</t>
        </is>
      </c>
      <c r="E23" s="6" t="inlineStr">
        <is>
          <t>USER_ERRORS 0건 → 의존성 무효화 추정, ALTER COMPILE 재컴파일 필요</t>
        </is>
      </c>
    </row>
    <row r="24" ht="18" customHeight="1">
      <c r="A24" s="6" t="n">
        <v>2</v>
      </c>
      <c r="B24" s="6" t="inlineStr">
        <is>
          <t>DMF0021_GET_DM_PLN_SALES_PLAN_DATAEX</t>
        </is>
      </c>
      <c r="C24" s="6" t="inlineStr">
        <is>
          <t>PROCEDURE</t>
        </is>
      </c>
      <c r="D24" s="6" t="inlineStr">
        <is>
          <t>INVALID</t>
        </is>
      </c>
      <c r="E24" s="6" t="inlineStr">
        <is>
          <t>재컴파일 필요 (standalone — PKG 통합 여부 확정 필요)</t>
        </is>
      </c>
    </row>
    <row r="25" ht="18" customHeight="1">
      <c r="A25" s="6" t="n">
        <v>3</v>
      </c>
      <c r="B25" s="6" t="inlineStr">
        <is>
          <t>DMF0021_SAVE_DM_PLN_SALES_PLAN_ALL</t>
        </is>
      </c>
      <c r="C25" s="6" t="inlineStr">
        <is>
          <t>PROCEDURE</t>
        </is>
      </c>
      <c r="D25" s="6" t="inlineStr">
        <is>
          <t>INVALID</t>
        </is>
      </c>
      <c r="E25" s="6" t="inlineStr">
        <is>
          <t>재컴파일 필요</t>
        </is>
      </c>
    </row>
    <row r="26" ht="30" customHeight="1">
      <c r="A26" s="6" t="n">
        <v>4</v>
      </c>
      <c r="B26" s="6" t="inlineStr">
        <is>
          <t>DMF0021_GET_SPREAD_TITLE / GET_SALES_PLAN_MEASUREINFO / MEASUREINFO2</t>
        </is>
      </c>
      <c r="C26" s="6" t="inlineStr">
        <is>
          <t>PROCEDURE</t>
        </is>
      </c>
      <c r="D26" s="6" t="inlineStr">
        <is>
          <t>VALID</t>
        </is>
      </c>
      <c r="E26" s="6" t="inlineStr">
        <is>
          <t>MEASUREINFO2 는 AS-IS 사장 — 이관 대상 여부 확인</t>
        </is>
      </c>
    </row>
    <row r="27" ht="30" customHeight="1">
      <c r="A27" s="6" t="n">
        <v>5</v>
      </c>
      <c r="B27" s="6" t="inlineStr">
        <is>
          <t>GT_DMF0021_* (14개)</t>
        </is>
      </c>
      <c r="C27" s="6" t="inlineStr">
        <is>
          <t>TABLE (GTT)</t>
        </is>
      </c>
      <c r="D27" s="6" t="inlineStr">
        <is>
          <t>VALID</t>
        </is>
      </c>
      <c r="E27" s="6" t="inlineStr">
        <is>
          <t>RAW_DATA/COLUMN_SETUP/ITEM_SINGLE 4종/SHEET_MEASURE/SITE 2종/SELECT_MEASURE/SHIPMENT_SITE 2종/T/WF</t>
        </is>
      </c>
    </row>
    <row r="29" ht="20" customHeight="1">
      <c r="A29" s="4" t="inlineStr">
        <is>
          <t>AS-IS SP ↔ TO-BE 대응 (정본 소스 전수 — 실사용 8 / 사장 7 / BigFilter 7 / 공통 헬퍼)</t>
        </is>
      </c>
    </row>
    <row r="30">
      <c r="A30" s="5" t="inlineStr">
        <is>
          <t>No</t>
        </is>
      </c>
      <c r="B30" s="5" t="inlineStr">
        <is>
          <t>AS-IS SP (MSSQL)</t>
        </is>
      </c>
      <c r="C30" s="5" t="inlineStr">
        <is>
          <t>TO-BE (Oracle / 상태)</t>
        </is>
      </c>
      <c r="D30" s="5" t="inlineStr">
        <is>
          <t>용도</t>
        </is>
      </c>
      <c r="E30" s="5" t="inlineStr">
        <is>
          <t>비고</t>
        </is>
      </c>
    </row>
    <row r="31" ht="30" customHeight="1">
      <c r="A31" s="6" t="n">
        <v>1</v>
      </c>
      <c r="B31" s="6" t="inlineStr">
        <is>
          <t>DM.DMF0021_GET_DM_PLN_SALES_PLAN_DATAEx</t>
        </is>
      </c>
      <c r="C31" s="6" t="inlineStr">
        <is>
          <t>DMF0021_GET_DM_PLN_SALES_PLAN_DATAEX (INVALID — 재컴파일)</t>
        </is>
      </c>
      <c r="D31" s="6" t="inlineStr">
        <is>
          <t>메인 조회</t>
        </is>
      </c>
      <c r="E31" s="6" t="inlineStr">
        <is>
          <t>18 param. 결과 3테이블 (데이터+NOTATION·SORT_ORDER_NO / 기준일 THIS_YYYYMM 등 7필드 / EDIT_AUTH 2필드)</t>
        </is>
      </c>
    </row>
    <row r="32" ht="30" customHeight="1">
      <c r="A32" s="6" t="n">
        <v>2</v>
      </c>
      <c r="B32" s="6" t="inlineStr">
        <is>
          <t>DM.DMF0021_SAVE_DM_PLN_SALES_PLAN_ALL</t>
        </is>
      </c>
      <c r="C32" s="6" t="inlineStr">
        <is>
          <t>DMF0021_SAVE_DM_PLN_SALES_PLAN_ALL (INVALID — 재컴파일)</t>
        </is>
      </c>
      <c r="D32" s="6" t="inlineStr">
        <is>
          <t>저장</t>
        </is>
      </c>
      <c r="E32" s="6" t="inlineStr">
        <is>
          <t>'^' bulk + 중복체크 SP 내 수행 (구 fnValidation 이관). 결과 'success'/'코드^메시지'</t>
        </is>
      </c>
    </row>
    <row r="33" ht="30" customHeight="1">
      <c r="A33" s="6" t="n">
        <v>3</v>
      </c>
      <c r="B33" s="6" t="inlineStr">
        <is>
          <t>DM.DMF0021_GET_SPREAD_TITLE</t>
        </is>
      </c>
      <c r="C33" s="6" t="inlineStr">
        <is>
          <t>DMF0021_GET_SPREAD_TITLE (VALID)</t>
        </is>
      </c>
      <c r="D33" s="6" t="inlineStr">
        <is>
          <t>동적 3단 헤더</t>
        </is>
      </c>
      <c r="E33" s="6" t="inlineStr">
        <is>
          <t>구 DM_H.DM0021_GET_SPREAD_TITLE rename (주석 잔재)</t>
        </is>
      </c>
    </row>
    <row r="34" ht="30" customHeight="1">
      <c r="A34" s="6" t="n">
        <v>4</v>
      </c>
      <c r="B34" s="6" t="inlineStr">
        <is>
          <t>DM.DMF0021_GET_SALES_PLAN_MEASUREINFO</t>
        </is>
      </c>
      <c r="C34" s="6" t="inlineStr">
        <is>
          <t>DMF0021_GET_SALES_PLAN_MEASUREINFO (VALID)</t>
        </is>
      </c>
      <c r="D34" s="6" t="inlineStr">
        <is>
          <t>Insert Measure 콤보</t>
        </is>
      </c>
      <c r="E34" s="6" t="inlineStr"/>
    </row>
    <row r="35" ht="18" customHeight="1">
      <c r="A35" s="6" t="n">
        <v>5</v>
      </c>
      <c r="B35" s="6" t="inlineStr">
        <is>
          <t>DM.DMF0003_GET_BUCKET_TYPE_CODE</t>
        </is>
      </c>
      <c r="C35" s="6" t="inlineStr">
        <is>
          <t>PKG_DMF0003.P_DMF0003_GET_BUCKET_TYPE_CODE (기이관)</t>
        </is>
      </c>
      <c r="D35" s="6" t="inlineStr">
        <is>
          <t>Bucket 콤보</t>
        </is>
      </c>
      <c r="E35" s="6" t="inlineStr">
        <is>
          <t>DMF0003 과 공유</t>
        </is>
      </c>
    </row>
    <row r="36" ht="30" customHeight="1">
      <c r="A36" s="6" t="n">
        <v>6</v>
      </c>
      <c r="B36" s="6" t="inlineStr">
        <is>
          <t>DM.PR_GET_DAY_RANGE</t>
        </is>
      </c>
      <c r="C36" s="6" t="inlineStr">
        <is>
          <t>미이관 — FE 기본값 대체 (DMF0003 선례) 또는 이관</t>
        </is>
      </c>
      <c r="D36" s="6" t="inlineStr">
        <is>
          <t>기간 기본값 (p_month=6)</t>
        </is>
      </c>
      <c r="E36" s="6" t="inlineStr"/>
    </row>
    <row r="37" ht="30" customHeight="1">
      <c r="A37" s="6" t="n">
        <v>7</v>
      </c>
      <c r="B37" s="6" t="inlineStr">
        <is>
          <t>SCM.SCM0001_GET_LOOKUP_VALUES (ITEM_TYPE_CODE)</t>
        </is>
      </c>
      <c r="C37" s="6" t="inlineStr">
        <is>
          <t>CMBO 'ItemType' 등록 대체</t>
        </is>
      </c>
      <c r="D37" s="6" t="inlineStr">
        <is>
          <t>Item Type 조회조건</t>
        </is>
      </c>
      <c r="E37" s="6" t="inlineStr"/>
    </row>
    <row r="38" ht="30" customHeight="1">
      <c r="A38" s="6" t="n">
        <v>8</v>
      </c>
      <c r="B38" s="6" t="inlineStr">
        <is>
          <t>DM.UP_FX_GetCommonDataList_DM (DM_CUSTOMS_HANDBOOK / AS_INCOTERMS / FCST_TYPE)</t>
        </is>
      </c>
      <c r="C38" s="6" t="inlineStr">
        <is>
          <t>CMBO 등록 대체 (CustomsHandbook/Incoterms/FcstType — 등록 실측 확인)</t>
        </is>
      </c>
      <c r="D38" s="6" t="inlineStr">
        <is>
          <t>Catch_Up 셀 콤보 3종</t>
        </is>
      </c>
      <c r="E38" s="6" t="inlineStr">
        <is>
          <t>FCST_TYPE 은 CODE&lt;&gt;'ETC' 필터</t>
        </is>
      </c>
    </row>
    <row r="39" ht="45" customHeight="1">
      <c r="A39" s="6" t="n">
        <v>9</v>
      </c>
      <c r="B39" s="6" t="inlineStr">
        <is>
          <t>BigFilter 7종 (MyDivision/UserTeamByDivision/EndCustomerByDivision/BizType/UserSiteByEndCustomer/UserPlantSiteByEndCustomer/UserPlantSiteByDivision)</t>
        </is>
      </c>
      <c r="C39" s="6" t="inlineStr">
        <is>
          <t>CMBO 등록 대체 (조회조건 콤보 — 시트 3 참조)</t>
        </is>
      </c>
      <c r="D39" s="6" t="inlineStr">
        <is>
          <t>조회조건 콤보</t>
        </is>
      </c>
      <c r="E39" s="6" t="inlineStr">
        <is>
          <t>AS-IS PJ202350699 속도개선 메모리 필터</t>
        </is>
      </c>
    </row>
    <row r="40" ht="30" customHeight="1">
      <c r="A40" s="6" t="n">
        <v>10</v>
      </c>
      <c r="B40" s="6" t="inlineStr">
        <is>
          <t>Data.Common / Data.User*Auth 헬퍼 (SALES_PLAN_ITEM_ID/CURRENCY_LIST/CELL_PROD_SITE_ID/EndCustomerByDivision40 + Auth 4종)</t>
        </is>
      </c>
      <c r="C40" s="6" t="inlineStr">
        <is>
          <t>CMBO 등록 대체 (그리드 셀 콤보 — ⚠ CELL_PROD_SITE_ID CMBO 미등록)</t>
        </is>
      </c>
      <c r="D40" s="6" t="inlineStr">
        <is>
          <t>그리드 셀 콤보</t>
        </is>
      </c>
      <c r="E40" s="6" t="inlineStr">
        <is>
          <t>권한(Auth) 계열은 @sesUserId 바인드</t>
        </is>
      </c>
    </row>
    <row r="41" ht="45" customHeight="1">
      <c r="A41" s="6" t="n">
        <v>11</v>
      </c>
      <c r="B41" s="6" t="inlineStr">
        <is>
          <t>(사장 7종) SCM0001_GET_DIVISION/SITE_BY_DIVISION/TEAM_BY_DIVISION/CUSTOMER_BY_DIVISION×2/BIZ_TYPE_BY_DIVISION/PLANT_SITE_BY_END_CUSTOMER + DMF0021_GET_SALES_PLAN_MEASUREINFO2</t>
        </is>
      </c>
      <c r="C41" s="6" t="inlineStr">
        <is>
          <t>이관 불필요 (BigFilter 대체 잔재 — 호출부 주석/미호출)</t>
        </is>
      </c>
      <c r="D41" s="6" t="inlineStr">
        <is>
          <t>(구) 콤보</t>
        </is>
      </c>
      <c r="E41" s="6" t="inlineStr">
        <is>
          <t>기존 analysis.md 는 사장 상태 미표기</t>
        </is>
      </c>
    </row>
    <row r="42" ht="30" customHeight="1">
      <c r="A42" s="6" t="n">
        <v>12</v>
      </c>
      <c r="B42" s="6" t="inlineStr">
        <is>
          <t>(구문서 잉여) DMF0021_GET_DM_PLN_SALES_PLAN_DATAEx2 / GET_SPREAD_TITLE2</t>
        </is>
      </c>
      <c r="C42" s="6" t="inlineStr">
        <is>
          <t>현 정본 소스에 부재 (grep 0건) — 이관 대상 아님</t>
        </is>
      </c>
      <c r="D42" s="6" t="inlineStr">
        <is>
          <t>-</t>
        </is>
      </c>
      <c r="E42" s="6" t="inlineStr">
        <is>
          <t>analysis.md/설계서에만 존재 (구 변형 기준 추정)</t>
        </is>
      </c>
    </row>
    <row r="44" ht="20" customHeight="1">
      <c r="A44" s="4" t="inlineStr">
        <is>
          <t>콤보 (SCM_ADM_CMBO_SQL_M 실측 — 이 화면 필요분 23종 중 22종 등록)</t>
        </is>
      </c>
    </row>
    <row r="45">
      <c r="A45" s="5" t="inlineStr">
        <is>
          <t>No</t>
        </is>
      </c>
      <c r="B45" s="5" t="inlineStr">
        <is>
          <t>CMBO SQL_ID</t>
        </is>
      </c>
      <c r="C45" s="5" t="inlineStr">
        <is>
          <t>용도</t>
        </is>
      </c>
      <c r="D45" s="5" t="inlineStr">
        <is>
          <t>등록</t>
        </is>
      </c>
      <c r="E45" s="5" t="inlineStr">
        <is>
          <t>비고</t>
        </is>
      </c>
    </row>
    <row r="46" ht="60" customHeight="1">
      <c r="A46" s="6" t="n">
        <v>1</v>
      </c>
      <c r="B46" s="6" t="inlineStr">
        <is>
          <t>MyDivision / TeambyDivision / EndCustomer / EndCustomerByDivisionDept / EndCustomerByDivision40 / SiteByEndCustomer_InnerCode / BizType / BizTypeByDivision / DmBizType / ItemType / SalesPlant / FromSiteByDivision / BucketType</t>
        </is>
      </c>
      <c r="C46" s="6" t="inlineStr">
        <is>
          <t>조회조건 + 그리드 키 콤보</t>
        </is>
      </c>
      <c r="D46" s="6" t="inlineStr">
        <is>
          <t>Y (실측)</t>
        </is>
      </c>
      <c r="E46" s="6" t="inlineStr">
        <is>
          <t>SHEET_COLUMNS CELL_COMBO_DATA_TYPE 참조명 포함</t>
        </is>
      </c>
    </row>
    <row r="47" ht="30" customHeight="1">
      <c r="A47" s="6" t="n">
        <v>2</v>
      </c>
      <c r="B47" s="6" t="inlineStr">
        <is>
          <t>Division / DeptId / Incoterms / FcstType / DOM_EXP / CustomsHandbook / DM_COMPANY / YesOrNo / Measure</t>
        </is>
      </c>
      <c r="C47" s="6" t="inlineStr">
        <is>
          <t>그리드 셀 콤보</t>
        </is>
      </c>
      <c r="D47" s="6" t="inlineStr">
        <is>
          <t>Y (실측)</t>
        </is>
      </c>
      <c r="E47" s="6" t="inlineStr"/>
    </row>
    <row r="48" ht="30" customHeight="1">
      <c r="A48" s="6" t="n">
        <v>3</v>
      </c>
      <c r="B48" s="6" t="inlineStr">
        <is>
          <t>CELL_PROD_SITE_ID</t>
        </is>
      </c>
      <c r="C48" s="6" t="inlineStr">
        <is>
          <t>그리드 셀 콤보 (40 필수 컬럼)</t>
        </is>
      </c>
      <c r="D48" s="6" t="inlineStr">
        <is>
          <t>⚠ 미등록</t>
        </is>
      </c>
      <c r="E48" s="6" t="inlineStr">
        <is>
          <t>SHEET_COLUMNS 가 참조 — 구현 시 등록 필수 (Data.Common(CELL_PROD_SITE_ID, division, itemId) 상당 SQL)</t>
        </is>
      </c>
    </row>
    <row r="49">
      <c r="A49" s="2" t="inlineStr">
        <is>
          <t>※ 파라미터(@divisionId 등) 콤보 등록 시 따옴표 규약 준수 (BE makeComboQuery). DIVISION_ID 반환형 콤보는 FE 클라이언트 필터.</t>
        </is>
      </c>
    </row>
  </sheetData>
  <mergeCells count="6">
    <mergeCell ref="A21:E21"/>
    <mergeCell ref="A29:E29"/>
    <mergeCell ref="A4:E4"/>
    <mergeCell ref="A13:E13"/>
    <mergeCell ref="A44:E44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3" customWidth="1" min="3" max="3"/>
    <col width="48" customWidth="1" min="4" max="4"/>
    <col width="38" customWidth="1" min="5" max="5"/>
    <col width="24" customWidth="1" min="6" max="6"/>
    <col width="12" customWidth="1" min="7" max="7"/>
    <col width="14" customWidth="1" min="8" max="8"/>
    <col width="32" customWidth="1" min="9" max="9"/>
  </cols>
  <sheetData>
    <row r="1" ht="21" customHeight="1">
      <c r="A1" s="1" t="inlineStr">
        <is>
          <t>8. SQL제약_SP — 화면 실사용 SP 소스 제약 전수 (96건)</t>
        </is>
      </c>
    </row>
    <row r="2">
      <c r="A2" s="2" t="inlineStr">
        <is>
          <t>DMF0021 Sales Plan · UI 분석서 v1.0 · 2026-07-09 (hook #105 11시트)</t>
        </is>
      </c>
    </row>
    <row r="3" ht="28" customHeight="1">
      <c r="A3" s="3" t="inlineStr">
        <is>
          <t>📖 읽는 법 — 서버 SP 안에 숨은 제약(사업부·날짜·권한·검증 등). "쉬운 설명"=업무, "제약/로직"=개발 정밀.</t>
        </is>
      </c>
    </row>
    <row r="4" ht="20" customHeight="1">
      <c r="A4" s="4" t="inlineStr">
        <is>
          <t>유형별 COUNT 대사 (anti-simplification 게이트 — grep 신호 ↔ 추출 제약)</t>
        </is>
      </c>
    </row>
    <row r="5">
      <c r="A5" s="8" t="inlineStr">
        <is>
          <t>유형</t>
        </is>
      </c>
      <c r="B5" s="8" t="inlineStr">
        <is>
          <t>추출</t>
        </is>
      </c>
      <c r="C5" s="8" t="inlineStr">
        <is>
          <t>grep raw</t>
        </is>
      </c>
      <c r="D5" s="8" t="inlineStr">
        <is>
          <t>대사</t>
        </is>
      </c>
      <c r="E5" s="8" t="inlineStr"/>
      <c r="F5" s="8" t="inlineStr"/>
      <c r="G5" s="8" t="inlineStr"/>
      <c r="H5" s="8" t="inlineStr"/>
      <c r="I5" s="8" t="inlineStr"/>
    </row>
    <row r="6" ht="45" customHeight="1">
      <c r="A6" s="9" t="inlineStr">
        <is>
          <t>Division분기</t>
        </is>
      </c>
      <c r="B6" s="9" t="n">
        <v>19</v>
      </c>
      <c r="C6" s="9" t="inlineStr"/>
      <c r="D6" s="9" t="inlineStr">
        <is>
          <t>동일논리 반복/boilerplate 차이는 누락 아님</t>
        </is>
      </c>
      <c r="E6" s="9" t="inlineStr"/>
      <c r="F6" s="9" t="inlineStr"/>
      <c r="G6" s="9" t="inlineStr"/>
      <c r="H6" s="9" t="inlineStr"/>
      <c r="I6" s="9" t="inlineStr"/>
    </row>
    <row r="7" ht="45" customHeight="1">
      <c r="A7" s="9" t="inlineStr">
        <is>
          <t>일자·버킷</t>
        </is>
      </c>
      <c r="B7" s="9" t="n">
        <v>13</v>
      </c>
      <c r="C7" s="9" t="inlineStr"/>
      <c r="D7" s="9" t="inlineStr">
        <is>
          <t>동일논리 반복/boilerplate 차이는 누락 아님</t>
        </is>
      </c>
      <c r="E7" s="9" t="inlineStr"/>
      <c r="F7" s="9" t="inlineStr"/>
      <c r="G7" s="9" t="inlineStr"/>
      <c r="H7" s="9" t="inlineStr"/>
      <c r="I7" s="9" t="inlineStr"/>
    </row>
    <row r="8" ht="45" customHeight="1">
      <c r="A8" s="9" t="inlineStr">
        <is>
          <t>Lookup참조</t>
        </is>
      </c>
      <c r="B8" s="9" t="n">
        <v>13</v>
      </c>
      <c r="C8" s="9" t="inlineStr"/>
      <c r="D8" s="9" t="inlineStr">
        <is>
          <t>동일논리 반복/boilerplate 차이는 누락 아님</t>
        </is>
      </c>
      <c r="E8" s="9" t="inlineStr"/>
      <c r="F8" s="9" t="inlineStr"/>
      <c r="G8" s="9" t="inlineStr"/>
      <c r="H8" s="9" t="inlineStr"/>
      <c r="I8" s="9" t="inlineStr"/>
    </row>
    <row r="9" ht="45" customHeight="1">
      <c r="A9" s="9" t="inlineStr">
        <is>
          <t>검증·오류</t>
        </is>
      </c>
      <c r="B9" s="9" t="n">
        <v>11</v>
      </c>
      <c r="C9" s="9" t="inlineStr"/>
      <c r="D9" s="9" t="inlineStr">
        <is>
          <t>동일논리 반복/boilerplate 차이는 누락 아님</t>
        </is>
      </c>
      <c r="E9" s="9" t="inlineStr"/>
      <c r="F9" s="9" t="inlineStr"/>
      <c r="G9" s="9" t="inlineStr"/>
      <c r="H9" s="9" t="inlineStr"/>
      <c r="I9" s="9" t="inlineStr"/>
    </row>
    <row r="10" ht="45" customHeight="1">
      <c r="A10" s="9" t="inlineStr">
        <is>
          <t>편집제약</t>
        </is>
      </c>
      <c r="B10" s="9" t="n">
        <v>6</v>
      </c>
      <c r="C10" s="9" t="inlineStr"/>
      <c r="D10" s="9" t="inlineStr">
        <is>
          <t>동일논리 반복/boilerplate 차이는 누락 아님</t>
        </is>
      </c>
      <c r="E10" s="9" t="inlineStr"/>
      <c r="F10" s="9" t="inlineStr"/>
      <c r="G10" s="9" t="inlineStr"/>
      <c r="H10" s="9" t="inlineStr"/>
      <c r="I10" s="9" t="inlineStr"/>
    </row>
    <row r="11" ht="45" customHeight="1">
      <c r="A11" s="9" t="inlineStr">
        <is>
          <t>NVL·기본값</t>
        </is>
      </c>
      <c r="B11" s="9" t="n">
        <v>9</v>
      </c>
      <c r="C11" s="9" t="inlineStr"/>
      <c r="D11" s="9" t="inlineStr">
        <is>
          <t>동일논리 반복/boilerplate 차이는 누락 아님</t>
        </is>
      </c>
      <c r="E11" s="9" t="inlineStr"/>
      <c r="F11" s="9" t="inlineStr"/>
      <c r="G11" s="9" t="inlineStr"/>
      <c r="H11" s="9" t="inlineStr"/>
      <c r="I11" s="9" t="inlineStr"/>
    </row>
    <row r="12" ht="45" customHeight="1">
      <c r="A12" s="9" t="inlineStr">
        <is>
          <t>PK·중복</t>
        </is>
      </c>
      <c r="B12" s="9" t="n">
        <v>9</v>
      </c>
      <c r="C12" s="9" t="inlineStr"/>
      <c r="D12" s="9" t="inlineStr">
        <is>
          <t>동일논리 반복/boilerplate 차이는 누락 아님</t>
        </is>
      </c>
      <c r="E12" s="9" t="inlineStr"/>
      <c r="F12" s="9" t="inlineStr"/>
      <c r="G12" s="9" t="inlineStr"/>
      <c r="H12" s="9" t="inlineStr"/>
      <c r="I12" s="9" t="inlineStr"/>
    </row>
    <row r="13" ht="30" customHeight="1">
      <c r="A13" s="9" t="inlineStr">
        <is>
          <t>Bulk('^')</t>
        </is>
      </c>
      <c r="B13" s="9" t="n">
        <v>2</v>
      </c>
      <c r="C13" s="9" t="inlineStr"/>
      <c r="D13" s="9" t="inlineStr">
        <is>
          <t>동일논리 반복/boilerplate 차이는 누락 아님</t>
        </is>
      </c>
      <c r="E13" s="9" t="inlineStr"/>
      <c r="F13" s="9" t="inlineStr"/>
      <c r="G13" s="9" t="inlineStr"/>
      <c r="H13" s="9" t="inlineStr"/>
      <c r="I13" s="9" t="inlineStr"/>
    </row>
    <row r="14" ht="45" customHeight="1">
      <c r="A14" s="9" t="inlineStr">
        <is>
          <t>커서(OUT)</t>
        </is>
      </c>
      <c r="B14" s="9" t="n">
        <v>6</v>
      </c>
      <c r="C14" s="9" t="inlineStr"/>
      <c r="D14" s="9" t="inlineStr">
        <is>
          <t>동일논리 반복/boilerplate 차이는 누락 아님</t>
        </is>
      </c>
      <c r="E14" s="9" t="inlineStr"/>
      <c r="F14" s="9" t="inlineStr"/>
      <c r="G14" s="9" t="inlineStr"/>
      <c r="H14" s="9" t="inlineStr"/>
      <c r="I14" s="9" t="inlineStr"/>
    </row>
    <row r="15" ht="30" customHeight="1">
      <c r="A15" s="9" t="inlineStr">
        <is>
          <t>정렬</t>
        </is>
      </c>
      <c r="B15" s="9" t="n">
        <v>8</v>
      </c>
      <c r="C15" s="9" t="inlineStr"/>
      <c r="D15" s="9" t="inlineStr">
        <is>
          <t>동일논리 반복/boilerplate 차이는 누락 아님</t>
        </is>
      </c>
      <c r="E15" s="9" t="inlineStr"/>
      <c r="F15" s="9" t="inlineStr"/>
      <c r="G15" s="9" t="inlineStr"/>
      <c r="H15" s="9" t="inlineStr"/>
      <c r="I15" s="9" t="inlineStr"/>
    </row>
    <row r="16" ht="30" customHeight="1">
      <c r="A16" s="9" t="inlineStr">
        <is>
          <t>합계</t>
        </is>
      </c>
      <c r="B16" s="9" t="n">
        <v>96</v>
      </c>
      <c r="C16" s="9" t="inlineStr"/>
      <c r="D16" s="9" t="inlineStr">
        <is>
          <t>SP: PKG_DMF0021 / GET DATAEX 1,744 / SAVE_ALL 1,295 / SPREAD_TITLE / MEASUREINFO(2)</t>
        </is>
      </c>
      <c r="E16" s="9" t="inlineStr"/>
      <c r="F16" s="9" t="inlineStr"/>
      <c r="G16" s="9" t="inlineStr"/>
      <c r="H16" s="9" t="inlineStr"/>
      <c r="I16" s="9" t="inlineStr"/>
    </row>
    <row r="18" ht="20" customHeight="1">
      <c r="A18" s="4" t="inlineStr">
        <is>
          <t>제약 전수 (SP × 유형 × 조건·로직 × 쉬운설명 × 참조 × MSG × 소스라인 × 특이)</t>
        </is>
      </c>
    </row>
    <row r="19">
      <c r="A19" s="8" t="inlineStr">
        <is>
          <t>No</t>
        </is>
      </c>
      <c r="B19" s="8" t="inlineStr">
        <is>
          <t>SP</t>
        </is>
      </c>
      <c r="C19" s="8" t="inlineStr">
        <is>
          <t>유형</t>
        </is>
      </c>
      <c r="D19" s="8" t="inlineStr">
        <is>
          <t>제약 (조건·로직)</t>
        </is>
      </c>
      <c r="E19" s="8" t="inlineStr">
        <is>
          <t>쉬운 설명 (업무 관점)</t>
        </is>
      </c>
      <c r="F19" s="8" t="inlineStr">
        <is>
          <t>참조 테이블·함수</t>
        </is>
      </c>
      <c r="G19" s="8" t="inlineStr">
        <is>
          <t>MSG</t>
        </is>
      </c>
      <c r="H19" s="8" t="inlineStr">
        <is>
          <t>소스라인</t>
        </is>
      </c>
      <c r="I19" s="8" t="inlineStr">
        <is>
          <t>특이 / AS-IS↔TO-BE</t>
        </is>
      </c>
    </row>
    <row r="20" ht="45" customHeight="1">
      <c r="A20" s="9" t="n">
        <v>1</v>
      </c>
      <c r="B20" s="9" t="inlineStr">
        <is>
          <t>DATAEX</t>
        </is>
      </c>
      <c r="C20" s="9" t="inlineStr">
        <is>
          <t>Division분기</t>
        </is>
      </c>
      <c r="D20" s="9" t="inlineStr">
        <is>
          <t>p_internal_yn='Y' AND p_division_id='82' AND REGEXP_LIKE(ATTRIBUTE2,'^[0-9]+(\.[0-9]+)?$') → 실적 QTY += CAST(ATTRIBUTE2 AS NUMBER)</t>
        </is>
      </c>
      <c r="E20" s="10" t="inlineStr">
        <is>
          <t>82번(소형ESS) 사업부에서 사내거래 포함 조회 시, 매출실적 수량에 ATTRIBUTE2(사내분)를 더해 표시.</t>
        </is>
      </c>
      <c r="F20" s="9" t="inlineStr">
        <is>
          <t>DM_PLN_SALES_PLAN_RESULT.ATTRIBUTE2</t>
        </is>
      </c>
      <c r="G20" s="9" t="inlineStr"/>
      <c r="H20" s="9" t="inlineStr">
        <is>
          <t>536-538</t>
        </is>
      </c>
      <c r="I20" s="9" t="inlineStr">
        <is>
          <t>82 전용 사내 가산. ATTRIBUTE2 비숫자 시 0 (REGEXP 가드=Oracle ORA-01722 방지 마이그레이션).</t>
        </is>
      </c>
    </row>
    <row r="21" ht="30" customHeight="1">
      <c r="A21" s="9" t="n">
        <v>2</v>
      </c>
      <c r="B21" s="9" t="inlineStr">
        <is>
          <t>DATAEX</t>
        </is>
      </c>
      <c r="C21" s="9" t="inlineStr">
        <is>
          <t>Division분기</t>
        </is>
      </c>
      <c r="D21" s="9" t="inlineStr">
        <is>
          <t>p_dept_id&lt;&gt;'ALL' AND FCST_TYPE='ETC' AND DIVISION_ID='40' → RAW.ATTRIBUTE1 = 부서토큰 아니면 DELETE</t>
        </is>
      </c>
      <c r="E21" s="10" t="inlineStr">
        <is>
          <t>40번(자동차) 사업부 기타매출(ETC)의 부서는 ATTRIBUTE1 컬럼에 저장 → 부서 필터를 ATTRIBUTE1로 판정.</t>
        </is>
      </c>
      <c r="F21" s="9" t="inlineStr">
        <is>
          <t>GT_DMF0021_RAW_DATA.ATTRIBUTE1</t>
        </is>
      </c>
      <c r="G21" s="9" t="inlineStr"/>
      <c r="H21" s="9" t="inlineStr">
        <is>
          <t>928-932</t>
        </is>
      </c>
      <c r="I21" s="9" t="inlineStr">
        <is>
          <t>40 기타매출 부서 특례 (PJ2024-50611). 타 사업부와 dept 소스 다름.</t>
        </is>
      </c>
    </row>
    <row r="22" ht="30" customHeight="1">
      <c r="A22" s="9" t="n">
        <v>3</v>
      </c>
      <c r="B22" s="9" t="inlineStr">
        <is>
          <t>DATAEX</t>
        </is>
      </c>
      <c r="C22" s="9" t="inlineStr">
        <is>
          <t>Division분기</t>
        </is>
      </c>
      <c r="D22" s="9" t="inlineStr">
        <is>
          <t>p_dept_id&lt;&gt;'ALL' AND FCST_TYPE='ETC' AND DIVISION_ID&lt;&gt;'40' → SCM_MST_SITE.DEPT_ID 미매칭 DELETE</t>
        </is>
      </c>
      <c r="E22" s="10" t="inlineStr">
        <is>
          <t>40 외 사업부의 기타매출 부서는 사이트마스터(SCM_MST_SITE)의 부서로 필터.</t>
        </is>
      </c>
      <c r="F22" s="9" t="inlineStr">
        <is>
          <t>SCM_MST_SITE.DEPT_ID</t>
        </is>
      </c>
      <c r="G22" s="9" t="inlineStr"/>
      <c r="H22" s="9" t="inlineStr">
        <is>
          <t>917-925</t>
        </is>
      </c>
      <c r="I22" s="9" t="inlineStr">
        <is>
          <t>ETC 부서 소스가 40=ATTRIBUTE1 / 40외=SCM_MST_SITE 로 분기.</t>
        </is>
      </c>
    </row>
    <row r="23" ht="45" customHeight="1">
      <c r="A23" s="9" t="n">
        <v>4</v>
      </c>
      <c r="B23" s="9" t="inlineStr">
        <is>
          <t>DATAEX</t>
        </is>
      </c>
      <c r="C23" s="9" t="inlineStr">
        <is>
          <t>Division분기</t>
        </is>
      </c>
      <c r="D23" s="9" t="inlineStr">
        <is>
          <t>p_end_customer&lt;&gt;'ALL': division='40' → PROJECT_CODE=토큰 / division&lt;&gt;'40' → SCM_MST_SITE.END_CUSTOMER=토큰</t>
        </is>
      </c>
      <c r="E23" s="10" t="inlineStr">
        <is>
          <t>End Customer 필터: 40 사업부는 프로젝트코드가 곧 엔드고객, 그 외는 사이트의 END_CUSTOMER 컬럼으로 매칭.</t>
        </is>
      </c>
      <c r="F23" s="9" t="inlineStr">
        <is>
          <t>SCM_MST_SITE.END_CUSTOMER, GT_DMF0021_RAW_DATA.PROJECT_CODE</t>
        </is>
      </c>
      <c r="G23" s="9" t="inlineStr"/>
      <c r="H23" s="9" t="inlineStr">
        <is>
          <t>936-950</t>
        </is>
      </c>
      <c r="I23" s="9" t="inlineStr">
        <is>
          <t>40 사업부는 End Customer=Project 동일 개념.</t>
        </is>
      </c>
    </row>
    <row r="24" ht="30" customHeight="1">
      <c r="A24" s="9" t="n">
        <v>5</v>
      </c>
      <c r="B24" s="9" t="inlineStr">
        <is>
          <t>DATAEX</t>
        </is>
      </c>
      <c r="C24" s="9" t="inlineStr">
        <is>
          <t>Division분기</t>
        </is>
      </c>
      <c r="D24" s="9" t="inlineStr">
        <is>
          <t>p_biztype&lt;&gt;'ALL': division='40' → ITEM_SINGLE_V.FORECAST_INFO_BIZ_TYPE=토큰 / &lt;&gt;'40' → SCM_MST_PROJECT.BIZ_TYPE LIKE %토큰%</t>
        </is>
      </c>
      <c r="E24" s="10" t="inlineStr">
        <is>
          <t>BizType 필터: 40은 아이템 마스터의 BizType, 그 외는 프로젝트의 BizType(부분일치)로 판정.</t>
        </is>
      </c>
      <c r="F24" s="9" t="inlineStr">
        <is>
          <t>SCM_MST_ITEM_SN(FORECAST_INFO_BIZ_TYPE), SCM_MST_PROJECT.BIZ_TYPE</t>
        </is>
      </c>
      <c r="G24" s="9" t="inlineStr"/>
      <c r="H24" s="9" t="inlineStr">
        <is>
          <t>979-996</t>
        </is>
      </c>
      <c r="I24" s="9" t="inlineStr">
        <is>
          <t>BizType 소스/매칭방식(=vs LIKE) 사업부 분기.</t>
        </is>
      </c>
    </row>
    <row r="25" ht="45" customHeight="1">
      <c r="A25" s="9" t="n">
        <v>6</v>
      </c>
      <c r="B25" s="9" t="inlineStr">
        <is>
          <t>DATAEX</t>
        </is>
      </c>
      <c r="C25" s="9" t="inlineStr">
        <is>
          <t>Division분기</t>
        </is>
      </c>
      <c r="D25" s="9" t="inlineStr">
        <is>
          <t>계획구간 PRICE: division='40' → DM_PLN_CFM_SELLING_PRICE(+CELL_PROD_SITE_ID 조인) / &lt;&gt;'40' → SCM_MST_FUTURE_PRICE(CELL_PROD 조인 없음)</t>
        </is>
      </c>
      <c r="E25" s="10" t="inlineStr">
        <is>
          <t>미래(계획) 판가는 40은 확정판가(CFM_SELLING_PRICE, 생산지 포함), 그 외 사업부는 미래판가(FUTURE_PRICE)에서 조회.</t>
        </is>
      </c>
      <c r="F25" s="9" t="inlineStr">
        <is>
          <t>DM_PLN_CFM_SELLING_PRICE, SCM_MST_FUTURE_PRICE</t>
        </is>
      </c>
      <c r="G25" s="9" t="inlineStr"/>
      <c r="H25" s="9" t="inlineStr">
        <is>
          <t>1123-1183</t>
        </is>
      </c>
      <c r="I25" s="9" t="inlineStr">
        <is>
          <t>판가 테이블 + 조인키(40만 CELL_PROD_SITE_ID) 사업부 분기. PJ2025-50017.</t>
        </is>
      </c>
    </row>
    <row r="26" ht="45" customHeight="1">
      <c r="A26" s="9" t="n">
        <v>7</v>
      </c>
      <c r="B26" s="9" t="inlineStr">
        <is>
          <t>DATAEX</t>
        </is>
      </c>
      <c r="C26" s="9" t="inlineStr">
        <is>
          <t>Division분기</t>
        </is>
      </c>
      <c r="D26" s="9" t="inlineStr">
        <is>
          <t>CAR/CELL 파생: 81%(LIKE)=CELL_PER_MODULE/Cell·Module·Pack 분기, 82=A.QTY*C.CELL_QUANTITY</t>
        </is>
      </c>
      <c r="E26" s="10" t="inlineStr">
        <is>
          <t>용량(대당/셀당) 메저 계산이 81(중대형)은 모듈당셀수 기준, 82(소형)는 셀수량 기준으로 다름.</t>
        </is>
      </c>
      <c r="F26" s="9" t="inlineStr">
        <is>
          <t>GT_DMF0021_SCM_MST_SITE_ITEM(CELL_PER_CAR,CELL_PER_MODULE), ITEM_SINGLE_V(CELL_QUANTITY,ITEM_CLASS_NAME)</t>
        </is>
      </c>
      <c r="G26" s="9" t="inlineStr"/>
      <c r="H26" s="9" t="inlineStr">
        <is>
          <t>1213-1224</t>
        </is>
      </c>
      <c r="I26" s="9" t="inlineStr">
        <is>
          <t>물리 미생성 메저 CAR/CELL 파생식이 사업부·아이템클래스별 상이.</t>
        </is>
      </c>
    </row>
    <row r="27" ht="45" customHeight="1">
      <c r="A27" s="9" t="n">
        <v>8</v>
      </c>
      <c r="B27" s="9" t="inlineStr">
        <is>
          <t>DATAEX</t>
        </is>
      </c>
      <c r="C27" s="9" t="inlineStr">
        <is>
          <t>Division분기</t>
        </is>
      </c>
      <c r="D27" s="9" t="inlineStr">
        <is>
          <t>division='82' → v_qty_div='ROUND(A.QTY,10)' else 'A.QTY'</t>
        </is>
      </c>
      <c r="E27" s="10" t="inlineStr">
        <is>
          <t>82 사업부는 소수점 10자리로 반올림 표기(원본 FORMAT 근사), 그 외는 원값 그대로.</t>
        </is>
      </c>
      <c r="F27" s="9" t="inlineStr">
        <is>
          <t>동적SQL v_qty_div</t>
        </is>
      </c>
      <c r="G27" s="9" t="inlineStr"/>
      <c r="H27" s="9" t="inlineStr">
        <is>
          <t>1605-1613</t>
        </is>
      </c>
      <c r="I27" s="9" t="inlineStr">
        <is>
          <t>E20230619-000151 82 소수점 표기. 원본 CONVERT(float,FORMAT(...)) → ROUND 근사 (검증 필요 이슈).</t>
        </is>
      </c>
    </row>
    <row r="28" ht="30" customHeight="1">
      <c r="A28" s="9" t="n">
        <v>9</v>
      </c>
      <c r="B28" s="9" t="inlineStr">
        <is>
          <t>DATAEX</t>
        </is>
      </c>
      <c r="C28" s="9" t="inlineStr">
        <is>
          <t>Division분기</t>
        </is>
      </c>
      <c r="D28" s="9" t="inlineStr">
        <is>
          <t>v_ColList LIKE '%SHIPMENT_SITE%' AND p_division_id='82' 에서만 SHIPMENT_SITE(생산지) 컬럼 산출</t>
        </is>
      </c>
      <c r="E28" s="10" t="inlineStr">
        <is>
          <t>출하 생산지(Shipment Site) 컬럼은 82 사업부 + 해당 컬럼 선택 시에만 SCP 출하계획에서 계산.</t>
        </is>
      </c>
      <c r="F28" s="9" t="inlineStr">
        <is>
          <t>SCP_PLAN_VERSION_V, SCP_ANL_SHIPMENT_PLAN_FG, SCP_ANL_PROBLEM_REPORT_PEGGING</t>
        </is>
      </c>
      <c r="G28" s="9" t="inlineStr"/>
      <c r="H28" s="9" t="inlineStr">
        <is>
          <t>1439-1489</t>
        </is>
      </c>
      <c r="I28" s="9" t="inlineStr">
        <is>
          <t>82 전용 SCP 연동 (PJ20200138). 최신 WEEKLY/FN plan version.</t>
        </is>
      </c>
    </row>
    <row r="29" ht="30" customHeight="1">
      <c r="A29" s="9" t="n">
        <v>10</v>
      </c>
      <c r="B29" s="9" t="inlineStr">
        <is>
          <t>DATAEX</t>
        </is>
      </c>
      <c r="C29" s="9" t="inlineStr">
        <is>
          <t>Division분기</t>
        </is>
      </c>
      <c r="D29" s="9" t="inlineStr">
        <is>
          <t>KWH_MODULE/KWH_PACK: DIVISION_ID LIKE '81%' AND CELL_PER_MODULE/CELL_PER_CAR&gt;0 AND ATTRIBUTE8 IS NOT NULL</t>
        </is>
      </c>
      <c r="E29" s="10" t="inlineStr">
        <is>
          <t>모듈·팩 용량(KWh) 컬럼은 81번대 사업부에서 셀당KWh(ATTRIBUTE8) x 셀수로 계산.</t>
        </is>
      </c>
      <c r="F29" s="9" t="inlineStr">
        <is>
          <t>GT_DMF0021_SCM_MST_SITE_ITEM(ATTRIBUTE8,CELL_PER_MODULE,CELL_PER_CAR)</t>
        </is>
      </c>
      <c r="G29" s="9" t="inlineStr"/>
      <c r="H29" s="9" t="inlineStr">
        <is>
          <t>1538-1539</t>
        </is>
      </c>
      <c r="I29" s="9" t="inlineStr">
        <is>
          <t>81% 전용 파생 컬럼.</t>
        </is>
      </c>
    </row>
    <row r="30" ht="30" customHeight="1">
      <c r="A30" s="9" t="n">
        <v>11</v>
      </c>
      <c r="B30" s="9" t="inlineStr">
        <is>
          <t>DATAEX</t>
        </is>
      </c>
      <c r="C30" s="9" t="inlineStr">
        <is>
          <t>Division분기</t>
        </is>
      </c>
      <c r="D30" s="9" t="inlineStr">
        <is>
          <t>SCP_USE_YN: division='40' AND (VMI_YN='Y'+VMI메저 | VMI_YN='N'+RTF계열메저) → 'Y' else 'N'</t>
        </is>
      </c>
      <c r="E30" s="10" t="inlineStr">
        <is>
          <t>SCP 사용여부 컬럼은 40 사업부에서 VMI 여부와 메저 종류 조합으로 Y/N 산출.</t>
        </is>
      </c>
      <c r="F30" s="9" t="inlineStr">
        <is>
          <t>GT_DMF0021_SCM_MST_SITE.VMI_YN</t>
        </is>
      </c>
      <c r="G30" s="9" t="inlineStr"/>
      <c r="H30" s="9" t="inlineStr">
        <is>
          <t>1573</t>
        </is>
      </c>
      <c r="I30" s="9" t="inlineStr">
        <is>
          <t>E20250423-000842 40 전용 SCP Use 컬럼.</t>
        </is>
      </c>
    </row>
    <row r="31" ht="30" customHeight="1">
      <c r="A31" s="9" t="n">
        <v>12</v>
      </c>
      <c r="B31" s="9" t="inlineStr">
        <is>
          <t>DATAEX</t>
        </is>
      </c>
      <c r="C31" s="9" t="inlineStr">
        <is>
          <t>Division분기</t>
        </is>
      </c>
      <c r="D31" s="9" t="inlineStr">
        <is>
          <t>DEPT_ID 컬럼: FCST_TYPE='ETC' → (division='40'?A.ATTRIBUTE1:B.DEPT_ID) else C.DEPT_ID</t>
        </is>
      </c>
      <c r="E31" s="10" t="inlineStr">
        <is>
          <t>화면 표시 부서: 기타매출이면 40=ATTRIBUTE1/40외=사이트부서, 일반이면 Site-Item 부서.</t>
        </is>
      </c>
      <c r="F31" s="9" t="inlineStr">
        <is>
          <t>RAW.ATTRIBUTE1, SCM_MST_SITE.DEPT_ID, SCM_MST_SITE_ITEM.DEPT_ID</t>
        </is>
      </c>
      <c r="G31" s="9" t="inlineStr"/>
      <c r="H31" s="9" t="inlineStr">
        <is>
          <t>1522</t>
        </is>
      </c>
      <c r="I31" s="9" t="inlineStr">
        <is>
          <t>C-D02/D03 필터와 대칭인 표시 로직.</t>
        </is>
      </c>
    </row>
    <row r="32" ht="45" customHeight="1">
      <c r="A32" s="9" t="n">
        <v>13</v>
      </c>
      <c r="B32" s="9" t="inlineStr">
        <is>
          <t>DATAEX</t>
        </is>
      </c>
      <c r="C32" s="9" t="inlineStr">
        <is>
          <t>Division분기</t>
        </is>
      </c>
      <c r="D32" s="9" t="inlineStr">
        <is>
          <t>SALES_PLAN_ADJUST_YN(편집가능여부 앞자리): (D.ITEM_ID IS NULL | (40 AND Catch_Up) | ((40|81%) AND RTF_SYS_RP) | ADJUST_YN='N') → 'N_' else 'Y_'</t>
        </is>
      </c>
      <c r="E32" s="10" t="inlineStr">
        <is>
          <t>셀 편집가능 여부의 1차 조건: 아이템 미매칭·40의 CatchUp·40/81의 RTF_SYS_RP·조정불가 사이트는 편집 불가.</t>
        </is>
      </c>
      <c r="F32" s="9" t="inlineStr">
        <is>
          <t>SCM_MST_SITE_ITEM.SALES_PLAN_ADJUST_YN</t>
        </is>
      </c>
      <c r="G32" s="9" t="inlineStr"/>
      <c r="H32" s="9" t="inlineStr">
        <is>
          <t>1641-1646</t>
        </is>
      </c>
      <c r="I32" s="9" t="inlineStr">
        <is>
          <t>사업부·메저 조합 편집락. 뒤 2차(dept_list/ADMIN)와 concat 하여 Y_Y 만 최종 편집가능.</t>
        </is>
      </c>
    </row>
    <row r="33" ht="30" customHeight="1">
      <c r="A33" s="9" t="n">
        <v>14</v>
      </c>
      <c r="B33" s="9" t="inlineStr">
        <is>
          <t>DATAEX</t>
        </is>
      </c>
      <c r="C33" s="9" t="inlineStr">
        <is>
          <t>Division분기</t>
        </is>
      </c>
      <c r="D33" s="9" t="inlineStr">
        <is>
          <t>GTT ITEM_SINGLE_B 및 CELL_MODEL 조인 SUBSTR(ITEM_ID,1,12)</t>
        </is>
      </c>
      <c r="E33" s="10" t="inlineStr">
        <is>
          <t>아이템의 예측정보(BizType 등)는 모델코드 앞 12자리 기준으로 묶어 조회.</t>
        </is>
      </c>
      <c r="F33" s="9" t="inlineStr">
        <is>
          <t>GT_DMF0021_DM_MST_ITEM_SINGLE_B</t>
        </is>
      </c>
      <c r="G33" s="9" t="inlineStr"/>
      <c r="H33" s="9" t="inlineStr">
        <is>
          <t>743,752,779</t>
        </is>
      </c>
      <c r="I33" s="9" t="inlineStr">
        <is>
          <t>ITEM_ID 12자리 = 모델단위 그룹핑 키.</t>
        </is>
      </c>
    </row>
    <row r="34" ht="30" customHeight="1">
      <c r="A34" s="9" t="n">
        <v>15</v>
      </c>
      <c r="B34" s="9" t="inlineStr">
        <is>
          <t>SAVE</t>
        </is>
      </c>
      <c r="C34" s="9" t="inlineStr">
        <is>
          <t>Division분기</t>
        </is>
      </c>
      <c r="D34" s="9" t="inlineStr">
        <is>
          <t>v_bucket='M': division='40' AND fcst_type='ETC' → yyyymm||MAX(CALENDAR_DAY)(월말일) else yyyymm||'01'(월초)</t>
        </is>
      </c>
      <c r="E34" s="10" t="inlineStr">
        <is>
          <t>월 버킷 저장 시 40 기타매출은 그 달 마지막 날짜로, 나머지는 1일로 날짜 확정.</t>
        </is>
      </c>
      <c r="F34" s="9" t="inlineStr">
        <is>
          <t>SCM_SYS_CALENDAR_M.CALENDAR_DAY</t>
        </is>
      </c>
      <c r="G34" s="9" t="inlineStr"/>
      <c r="H34" s="9" t="inlineStr">
        <is>
          <t>184-193</t>
        </is>
      </c>
      <c r="I34" s="9" t="inlineStr">
        <is>
          <t>E20250520-000605 40+ETC Monthly 입력 버킷 특례.</t>
        </is>
      </c>
    </row>
    <row r="35" ht="30" customHeight="1">
      <c r="A35" s="9" t="n">
        <v>16</v>
      </c>
      <c r="B35" s="9" t="inlineStr">
        <is>
          <t>SAVE</t>
        </is>
      </c>
      <c r="C35" s="9" t="inlineStr">
        <is>
          <t>Division분기</t>
        </is>
      </c>
      <c r="D35" s="9" t="inlineStr">
        <is>
          <t>DM_PLN_SALES_PLAN DELETE 전부 A.DIVISION_ID='40' AND MEASURE IN(RTF계열) 조건</t>
        </is>
      </c>
      <c r="E35" s="10" t="inlineStr">
        <is>
          <t>RTF/판가 계열 실계획 테이블 삭제는 40 사업부 데이터에만 적용(다른 사업부는 ETC 테이블만).</t>
        </is>
      </c>
      <c r="F35" s="9" t="inlineStr">
        <is>
          <t>DM_PLN_SALES_PLAN</t>
        </is>
      </c>
      <c r="G35" s="9" t="inlineStr"/>
      <c r="H35" s="9" t="inlineStr">
        <is>
          <t>608,658,730</t>
        </is>
      </c>
      <c r="I35" s="9" t="inlineStr">
        <is>
          <t>40 사업부만 DM_PLN_SALES_PLAN 직접 수정. 40외는 DM_PLN_SALES_ETC_PLAN(ETC)만.</t>
        </is>
      </c>
    </row>
    <row r="36" ht="30" customHeight="1">
      <c r="A36" s="9" t="n">
        <v>17</v>
      </c>
      <c r="B36" s="9" t="inlineStr">
        <is>
          <t>SAVE</t>
        </is>
      </c>
      <c r="C36" s="9" t="inlineStr">
        <is>
          <t>Division분기</t>
        </is>
      </c>
      <c r="D36" s="9" t="inlineStr">
        <is>
          <t>PROJECT_CODE 유효성: V_PROJECT_CODE&lt;&gt;'N' AND V_DIVISION_ID&lt;&gt;'40' AND SCM_MST_PROJECT 미존재 → MSG00457</t>
        </is>
      </c>
      <c r="E36" s="10" t="inlineStr">
        <is>
          <t>프로젝트코드가 마스터에 없으면 저장 거부. 단 40 사업부와 'N'(없음)은 예외.</t>
        </is>
      </c>
      <c r="F36" s="9" t="inlineStr">
        <is>
          <t>SCM_MST_PROJECT</t>
        </is>
      </c>
      <c r="G36" s="9" t="inlineStr">
        <is>
          <t>MSG00457</t>
        </is>
      </c>
      <c r="H36" s="9" t="inlineStr">
        <is>
          <t>308-327</t>
        </is>
      </c>
      <c r="I36" s="9" t="inlineStr">
        <is>
          <t>40 사업부 프로젝트 검증 제외.</t>
        </is>
      </c>
    </row>
    <row r="37" ht="30" customHeight="1">
      <c r="A37" s="9" t="n">
        <v>18</v>
      </c>
      <c r="B37" s="9" t="inlineStr">
        <is>
          <t>SAVE</t>
        </is>
      </c>
      <c r="C37" s="9" t="inlineStr">
        <is>
          <t>Division분기</t>
        </is>
      </c>
      <c r="D37" s="9" t="inlineStr">
        <is>
          <t>Catch_Up 모델유효성: division='40' AND measure='Catch_Up' AND SCM_MST_SITE_ITEM 미존재 → MSG00458</t>
        </is>
      </c>
      <c r="E37" s="10" t="inlineStr">
        <is>
          <t>Catch Up 입력은 40 사업부 + Site-Item에 등록된 모델만 허용.</t>
        </is>
      </c>
      <c r="F37" s="9" t="inlineStr">
        <is>
          <t>SCM_MST_SITE_ITEM</t>
        </is>
      </c>
      <c r="G37" s="9" t="inlineStr">
        <is>
          <t>MSG00458</t>
        </is>
      </c>
      <c r="H37" s="9" t="inlineStr">
        <is>
          <t>391-412</t>
        </is>
      </c>
      <c r="I37" s="9" t="inlineStr">
        <is>
          <t>40 전용 Catch_Up (PJ2024-50611).</t>
        </is>
      </c>
    </row>
    <row r="38" ht="30" customHeight="1">
      <c r="A38" s="9" t="n">
        <v>19</v>
      </c>
      <c r="B38" s="9" t="inlineStr">
        <is>
          <t>SAVE</t>
        </is>
      </c>
      <c r="C38" s="9" t="inlineStr">
        <is>
          <t>Division분기</t>
        </is>
      </c>
      <c r="D38" s="9" t="inlineStr">
        <is>
          <t>판가 조회 서브쿼리: AA.TBL = CASE WHEN AA.DIVISION_ID='40' THEN 'DM_PLN_CFM_SELLING_PRICE' ELSE 'SCM_MST_FUTURE_PRICE'</t>
        </is>
      </c>
      <c r="E38" s="10" t="inlineStr">
        <is>
          <t>RTF→매출액 파생 시 판가를 40은 확정판가, 그 외는 미래판가에서 UNION 후 사업부로 선택.</t>
        </is>
      </c>
      <c r="F38" s="9" t="inlineStr">
        <is>
          <t>DM_PLN_CFM_SELLING_PRICE, SCM_MST_FUTURE_PRICE</t>
        </is>
      </c>
      <c r="G38" s="9" t="inlineStr"/>
      <c r="H38" s="9" t="inlineStr">
        <is>
          <t>917,948,979</t>
        </is>
      </c>
      <c r="I38" s="9" t="inlineStr">
        <is>
          <t>조회(C-D06)와 동일 판가 분기가 저장 파생에도 적용.</t>
        </is>
      </c>
    </row>
    <row r="39" ht="45" customHeight="1">
      <c r="A39" s="9" t="n">
        <v>20</v>
      </c>
      <c r="B39" s="9" t="inlineStr">
        <is>
          <t>DATAEX</t>
        </is>
      </c>
      <c r="C39" s="9" t="inlineStr">
        <is>
          <t>일자·버킷</t>
        </is>
      </c>
      <c r="D39" s="9" t="inlineStr">
        <is>
          <t>v_start_yyyymmdd = (SELECT BASIS_START_DATE FROM SCM_SYS_CALENDAR_M WHERE BASIS_YYYYMMDD=p_from_yyyymmdd)</t>
        </is>
      </c>
      <c r="E39" s="10" t="inlineStr">
        <is>
          <t>조회 시작일이 주 시작일이 아니어도 판가를 못가져오지 않도록, 시작일이 속한 주의 시작일로 보정.</t>
        </is>
      </c>
      <c r="F39" s="9" t="inlineStr">
        <is>
          <t>SCM_SYS_CALENDAR_M.BASIS_START_DATE</t>
        </is>
      </c>
      <c r="G39" s="9" t="inlineStr"/>
      <c r="H39" s="9" t="inlineStr">
        <is>
          <t>212-215</t>
        </is>
      </c>
      <c r="I39" s="9" t="inlineStr">
        <is>
          <t>20200306 KHSONG. 실적구간 PRICE 계산 하한.</t>
        </is>
      </c>
    </row>
    <row r="40" ht="30" customHeight="1">
      <c r="A40" s="9" t="n">
        <v>21</v>
      </c>
      <c r="B40" s="9" t="inlineStr">
        <is>
          <t>DATAEX</t>
        </is>
      </c>
      <c r="C40" s="9" t="inlineStr">
        <is>
          <t>일자·버킷</t>
        </is>
      </c>
      <c r="D40" s="9" t="inlineStr">
        <is>
          <t>실적(R): YYYYMMDD &gt;= from AND &lt; now / 계획(P): YYYYMMDD &gt;= now AND &lt;= to</t>
        </is>
      </c>
      <c r="E40" s="10" t="inlineStr">
        <is>
          <t>기준일(now) 앞은 실적, 뒤는 계획으로 구간을 나눠 적재.</t>
        </is>
      </c>
      <c r="F40" s="9" t="inlineStr">
        <is>
          <t>DM_PLN_SALES_PLAN_RESULT, DM_PLN_SALES_PLAN</t>
        </is>
      </c>
      <c r="G40" s="9" t="inlineStr"/>
      <c r="H40" s="9" t="inlineStr">
        <is>
          <t>489,544</t>
        </is>
      </c>
      <c r="I40" s="9" t="inlineStr">
        <is>
          <t>now 경계 R/P 분기 — 화면 실적/계획 색상·편집락의 근거.</t>
        </is>
      </c>
    </row>
    <row r="41" ht="30" customHeight="1">
      <c r="A41" s="9" t="n">
        <v>22</v>
      </c>
      <c r="B41" s="9" t="inlineStr">
        <is>
          <t>DATAEX</t>
        </is>
      </c>
      <c r="C41" s="9" t="inlineStr">
        <is>
          <t>일자·버킷</t>
        </is>
      </c>
      <c r="D41" s="9" t="inlineStr">
        <is>
          <t>version cutoff 구간: VERSION_NO='CURRENT'→p_now / else TO_CHAR(FN_NEXT_DAY(TO_DATE(CUTOFF,'YYYYMMDD'),'MON')-7,'YYYYMMDD')</t>
        </is>
      </c>
      <c r="E41" s="10" t="inlineStr">
        <is>
          <t>과거 버전(cutoff) 데이터는 그 버전 확정주의 월요일-7(전주월요일) 기준으로 실적/계획 경계를 잡음.</t>
        </is>
      </c>
      <c r="F41" s="9" t="inlineStr">
        <is>
          <t>FN_NEXT_DAY, CUTOFF_YYYYMMDD</t>
        </is>
      </c>
      <c r="G41" s="9" t="inlineStr"/>
      <c r="H41" s="9" t="inlineStr">
        <is>
          <t>563-564,580,602,627,654,1023,1036,1077,1090</t>
        </is>
      </c>
      <c r="I41" s="9" t="inlineStr">
        <is>
          <t>C20200521-000202. MKT_FCST/RTF/LOC/KRW 등 다수 재사용되는 핵심 컷오프식.</t>
        </is>
      </c>
    </row>
    <row r="42" ht="30" customHeight="1">
      <c r="A42" s="9" t="n">
        <v>23</v>
      </c>
      <c r="B42" s="9" t="inlineStr">
        <is>
          <t>DATAEX</t>
        </is>
      </c>
      <c r="C42" s="9" t="inlineStr">
        <is>
          <t>일자·버킷</t>
        </is>
      </c>
      <c r="D42" s="9" t="inlineStr">
        <is>
          <t>컬럼버킷: DAILY→[D_YYYYMMDD], WEEKLY→[W_YYYYMM+ISO_WEEK], MONTHLY→[M_YYYYMM]. p_bucket='DAILY'일 때만 D_ 생성</t>
        </is>
      </c>
      <c r="E42" s="10" t="inlineStr">
        <is>
          <t>그리드 날짜컬럼을 일/주/월 단위로 생성. 일 컬럼은 DAILY 조회일 때만.</t>
        </is>
      </c>
      <c r="F42" s="9" t="inlineStr">
        <is>
          <t>SCM_SYS_CALENDAR_M(BASIS_YYYYMMDD,BASIS_YYYYMM,ISO_WEEK)</t>
        </is>
      </c>
      <c r="G42" s="9" t="inlineStr"/>
      <c r="H42" s="9" t="inlineStr">
        <is>
          <t>1290-1320</t>
        </is>
      </c>
      <c r="I42" s="9" t="inlineStr">
        <is>
          <t>동적 PIVOT IN 리스트 원천. SPREAD_TITLE 헤더와 1:1.</t>
        </is>
      </c>
    </row>
    <row r="43" ht="30" customHeight="1">
      <c r="A43" s="9" t="n">
        <v>24</v>
      </c>
      <c r="B43" s="9" t="inlineStr">
        <is>
          <t>DATAEX</t>
        </is>
      </c>
      <c r="C43" s="9" t="inlineStr">
        <is>
          <t>일자·버킷</t>
        </is>
      </c>
      <c r="D43" s="9" t="inlineStr">
        <is>
          <t>집계: MEASURE IN('KRW','USD','LOC') → AVG(QTY) else SUM(QTY) (주/월 버킷)</t>
        </is>
      </c>
      <c r="E43" s="10" t="inlineStr">
        <is>
          <t>판가성 메저(단가)는 버킷 합산이 아니라 평균, 수량성은 합계로 집계.</t>
        </is>
      </c>
      <c r="F43" s="9" t="inlineStr">
        <is>
          <t>동적SQL v_avg_qty/v_sum_qty</t>
        </is>
      </c>
      <c r="G43" s="9" t="inlineStr"/>
      <c r="H43" s="9" t="inlineStr">
        <is>
          <t>1685,1691</t>
        </is>
      </c>
      <c r="I43" s="9" t="inlineStr">
        <is>
          <t>PJ20209642R Sales Price는 Sum 대신 Avg.</t>
        </is>
      </c>
    </row>
    <row r="44" ht="30" customHeight="1">
      <c r="A44" s="9" t="n">
        <v>25</v>
      </c>
      <c r="B44" s="9" t="inlineStr">
        <is>
          <t>DATAEX</t>
        </is>
      </c>
      <c r="C44" s="9" t="inlineStr">
        <is>
          <t>일자·버킷</t>
        </is>
      </c>
      <c r="D44" s="9" t="inlineStr">
        <is>
          <t>SHIPMENT plan version: PLAN_START_YYYYMMDD &gt;= TO_CHAR(FN_NEXT_DAY(SYSDATE,'MON')-60,'YYYYMMDD') AND PLAN_CYCLE='WEEKLY' AND PLAN_TYPE='FN', ROW_NUMBER=1(최신)</t>
        </is>
      </c>
      <c r="E44" s="10" t="inlineStr">
        <is>
          <t>출하 생산지는 최근 60일 내 최신 주간 확정(FN) SCP 플랜 버전 1건 기준으로 산출.</t>
        </is>
      </c>
      <c r="F44" s="9" t="inlineStr">
        <is>
          <t>SCP_PLAN_VERSION_V</t>
        </is>
      </c>
      <c r="G44" s="9" t="inlineStr"/>
      <c r="H44" s="9" t="inlineStr">
        <is>
          <t>1440-1451</t>
        </is>
      </c>
      <c r="I44" s="9" t="inlineStr">
        <is>
          <t>82 SHIPMENT 전용 최신버전 선택.</t>
        </is>
      </c>
    </row>
    <row r="45" ht="30" customHeight="1">
      <c r="A45" s="9" t="n">
        <v>26</v>
      </c>
      <c r="B45" s="9" t="inlineStr">
        <is>
          <t>DATAEX</t>
        </is>
      </c>
      <c r="C45" s="9" t="inlineStr">
        <is>
          <t>일자·버킷</t>
        </is>
      </c>
      <c r="D45" s="9" t="inlineStr">
        <is>
          <t>p_cur_calendar: 당주=CALENDAR(SYSDATE)의 MAX(YYYYMM)/MIN(ISO_WEEK), 전주=CALENDAR(SYSDATE-7)</t>
        </is>
      </c>
      <c r="E45" s="10" t="inlineStr">
        <is>
          <t>화면 당주/전주 강조용 연월·주차 정보를 별도 커서로 반환(파셔주차 보정 MAX/MIN).</t>
        </is>
      </c>
      <c r="F45" s="9" t="inlineStr">
        <is>
          <t>SCM_SYS_CALENDAR_M</t>
        </is>
      </c>
      <c r="G45" s="9" t="inlineStr"/>
      <c r="H45" s="9" t="inlineStr">
        <is>
          <t>1711-1727</t>
        </is>
      </c>
      <c r="I45" s="9" t="inlineStr">
        <is>
          <t>PJ2025-50017/E20251120-001430 파셔주차 보정.</t>
        </is>
      </c>
    </row>
    <row r="46" ht="30" customHeight="1">
      <c r="A46" s="9" t="n">
        <v>27</v>
      </c>
      <c r="B46" s="9" t="inlineStr">
        <is>
          <t>DATAEX</t>
        </is>
      </c>
      <c r="C46" s="9" t="inlineStr">
        <is>
          <t>일자·버킷</t>
        </is>
      </c>
      <c r="D46" s="9" t="inlineStr">
        <is>
          <t>WF 인라인뷰: JOIN CALENDAR ON A.YYYYMMDD=BASIS_YYYYMMDD AND BASIS_DATE BETWEEN from AND to+1</t>
        </is>
      </c>
      <c r="E46" s="10" t="inlineStr">
        <is>
          <t>최종 그리드는 조회기간(+1일) 내 달력일자에 매칭되는 행만 포함.</t>
        </is>
      </c>
      <c r="F46" s="9" t="inlineStr">
        <is>
          <t>SCM_SYS_CALENDAR_M.BASIS_DATE</t>
        </is>
      </c>
      <c r="G46" s="9" t="inlineStr"/>
      <c r="H46" s="9" t="inlineStr">
        <is>
          <t>1666</t>
        </is>
      </c>
      <c r="I46" s="9" t="inlineStr">
        <is>
          <t>동적SQL 리터럴 임베드(from/to). PIVOT 대상 범위 한정.</t>
        </is>
      </c>
    </row>
    <row r="47" ht="30" customHeight="1">
      <c r="A47" s="9" t="n">
        <v>28</v>
      </c>
      <c r="B47" s="9" t="inlineStr">
        <is>
          <t>SAVE</t>
        </is>
      </c>
      <c r="C47" s="9" t="inlineStr">
        <is>
          <t>일자·버킷</t>
        </is>
      </c>
      <c r="D47" s="9" t="inlineStr">
        <is>
          <t>v_cutoff_start=TRUNC(SYSDATE,'IW')-7, v_cutoff_end=TRUNC(SYSDATE,'IW') (당주월요일)</t>
        </is>
      </c>
      <c r="E47" s="10" t="inlineStr">
        <is>
          <t>저장 시 전주 월요일~당주 월요일 구간을 버전 동기화 기준으로 미리 계산.</t>
        </is>
      </c>
      <c r="F47" s="9" t="inlineStr">
        <is>
          <t>SYSDATE</t>
        </is>
      </c>
      <c r="G47" s="9" t="inlineStr"/>
      <c r="H47" s="9" t="inlineStr">
        <is>
          <t>137-138</t>
        </is>
      </c>
      <c r="I47" s="9" t="inlineStr">
        <is>
          <t>MF_W/SF_W 버전 검색 및 FROM_SITE_ID MERGE 하한에 사용.</t>
        </is>
      </c>
    </row>
    <row r="48" ht="30" customHeight="1">
      <c r="A48" s="9" t="n">
        <v>29</v>
      </c>
      <c r="B48" s="9" t="inlineStr">
        <is>
          <t>SAVE</t>
        </is>
      </c>
      <c r="C48" s="9" t="inlineStr">
        <is>
          <t>일자·버킷</t>
        </is>
      </c>
      <c r="D48" s="9" t="inlineStr">
        <is>
          <t>bucket=SUBSTR(v_wyyyymmdd,1,1) (M|W), weeknumber=SUBSTR(-2), yyyy=SUBSTR(3,4), yyyymm=SUBSTR(3,6)</t>
        </is>
      </c>
      <c r="E48" s="10" t="inlineStr">
        <is>
          <t>화면이 넘긴 컬럼키(M_/W_ 접두)에서 버킷·주차·연월을 문자열로 분해.</t>
        </is>
      </c>
      <c r="F48" s="9" t="inlineStr">
        <is>
          <t>P_YYYYMMDD('^'토큰)</t>
        </is>
      </c>
      <c r="G48" s="9" t="inlineStr"/>
      <c r="H48" s="9" t="inlineStr">
        <is>
          <t>178-181</t>
        </is>
      </c>
      <c r="I48" s="9" t="inlineStr">
        <is>
          <t>SPREAD_TITLE 컬럼명 규약(D_/W_/M_)과 저장 파싱이 결합.</t>
        </is>
      </c>
    </row>
    <row r="49" ht="45" customHeight="1">
      <c r="A49" s="9" t="n">
        <v>30</v>
      </c>
      <c r="B49" s="9" t="inlineStr">
        <is>
          <t>SAVE</t>
        </is>
      </c>
      <c r="C49" s="9" t="inlineStr">
        <is>
          <t>일자·버킷</t>
        </is>
      </c>
      <c r="D49" s="9" t="inlineStr">
        <is>
          <t>Weekly 실날짜: CALENDAR_YYYY=yyyy AND ISO_WEEK=weeknumber, 12월(주가 연경계)일 때 BASIS_YYYYMM=yyyymm 추가조건. 월경계 걸치면 MAX(BASIS_YYYYMM)||'01'</t>
        </is>
      </c>
      <c r="E49" s="10" t="inlineStr">
        <is>
          <t>주 컬럼을 실제 저장일자로 변환. 주가 두 달에 걸치면 늦은 달 1일, 연말(12월)은 연도경계 보정.</t>
        </is>
      </c>
      <c r="F49" s="9" t="inlineStr">
        <is>
          <t>SCM_SYS_CALENDAR_M(CALENDAR_YYYY,ISO_WEEK,BASIS_YYYYMM,BASIS_YYYYMMDD)</t>
        </is>
      </c>
      <c r="G49" s="9" t="inlineStr"/>
      <c r="H49" s="9" t="inlineStr">
        <is>
          <t>194-215</t>
        </is>
      </c>
      <c r="I49" s="9" t="inlineStr">
        <is>
          <t>ISO 주차 연/월 경계 처리 — 잘못되면 엉뚱한 주에 저장.</t>
        </is>
      </c>
    </row>
    <row r="50" ht="30" customHeight="1">
      <c r="A50" s="9" t="n">
        <v>31</v>
      </c>
      <c r="B50" s="9" t="inlineStr">
        <is>
          <t>SAVE</t>
        </is>
      </c>
      <c r="C50" s="9" t="inlineStr">
        <is>
          <t>일자·버킷</t>
        </is>
      </c>
      <c r="D50" s="9" t="inlineStr">
        <is>
          <t>DELETE 매칭: Monthly(V_BUCKET='M')→C2.BASIS_YYYYMM=C1.BASIS_YYYYMM only / Weekly→ +C2.ISO_YYYYWW=C1.ISO_YYYYWW</t>
        </is>
      </c>
      <c r="E50" s="10" t="inlineStr">
        <is>
          <t>기존 데이터 삭제 범위가 월 저장이면 같은 달 전체, 주 저장이면 같은 주로 한정.</t>
        </is>
      </c>
      <c r="F50" s="9" t="inlineStr">
        <is>
          <t>SCM_SYS_CALENDAR_M(BASIS_YYYYMM,ISO_YYYYWW)</t>
        </is>
      </c>
      <c r="G50" s="9" t="inlineStr"/>
      <c r="H50" s="9" t="inlineStr">
        <is>
          <t>563-663</t>
        </is>
      </c>
      <c r="I50" s="9" t="inlineStr">
        <is>
          <t>E20250211-000653 Monthly/Weekly 분기. 버킷별 삭제 입도 다름.</t>
        </is>
      </c>
    </row>
    <row r="51" ht="30" customHeight="1">
      <c r="A51" s="9" t="n">
        <v>32</v>
      </c>
      <c r="B51" s="9" t="inlineStr">
        <is>
          <t>SAVE</t>
        </is>
      </c>
      <c r="C51" s="9" t="inlineStr">
        <is>
          <t>일자·버킷</t>
        </is>
      </c>
      <c r="D51" s="9" t="inlineStr">
        <is>
          <t>환율 조회: DM_MST_EXCHANGE_RATE WHERE YYYYMMDD=SUBSTR(V_YYYYMMDD,1,6)||'01' AND UNIT_CURRENCY/CURRENCY='KRW'</t>
        </is>
      </c>
      <c r="E51" s="10" t="inlineStr">
        <is>
          <t>LOC→KRW/USD 환산 시 해당 월 1일자 환율을 사용.</t>
        </is>
      </c>
      <c r="F51" s="9" t="inlineStr">
        <is>
          <t>DM_MST_EXCHANGE_RATE(EXCHANGE_PRICE)</t>
        </is>
      </c>
      <c r="G51" s="9" t="inlineStr"/>
      <c r="H51" s="9" t="inlineStr">
        <is>
          <t>748-783</t>
        </is>
      </c>
      <c r="I51" s="9" t="inlineStr">
        <is>
          <t>PJ20209642R CURRENCY='KRW' 조건. 월초 환율 고정.</t>
        </is>
      </c>
    </row>
    <row r="52" ht="30" customHeight="1">
      <c r="A52" s="9" t="n">
        <v>33</v>
      </c>
      <c r="B52" s="9" t="inlineStr">
        <is>
          <t>DATAEX</t>
        </is>
      </c>
      <c r="C52" s="9" t="inlineStr">
        <is>
          <t>Lookup참조</t>
        </is>
      </c>
      <c r="D52" s="9" t="inlineStr">
        <is>
          <t>GET_ADMIN_GROUP: COUNT&gt;0 → v_group_id='ADMIN' (SEGMENT1=p_userinfo,SEGMENT2='ALL',VALID_YN='Y')</t>
        </is>
      </c>
      <c r="E52" s="10" t="inlineStr">
        <is>
          <t>권한그룹 룩업에서 사용자 정보가 ADMIN 이면 전 데이터 편집 허용 플래그.</t>
        </is>
      </c>
      <c r="F52" s="9" t="inlineStr">
        <is>
          <t>SCM_ADM_LOOKUP_MASTER_DETAIL</t>
        </is>
      </c>
      <c r="G52" s="9" t="inlineStr"/>
      <c r="H52" s="9" t="inlineStr">
        <is>
          <t>243-254</t>
        </is>
      </c>
      <c r="I52" s="9" t="inlineStr">
        <is>
          <t>20200311 권한그룹 룩업관리. ADMIN 이면 SALES_PLAN_ADJUST_YN dept 무관 'Y'.</t>
        </is>
      </c>
    </row>
    <row r="53" ht="30" customHeight="1">
      <c r="A53" s="9" t="n">
        <v>34</v>
      </c>
      <c r="B53" s="9" t="inlineStr">
        <is>
          <t>DATAEX</t>
        </is>
      </c>
      <c r="C53" s="9" t="inlineStr">
        <is>
          <t>Lookup참조</t>
        </is>
      </c>
      <c r="D53" s="9" t="inlineStr">
        <is>
          <t>GET_ADMIN_GROUP_MEASURE(SEGMENT4='SalesAmt_LOC'): COUNT&gt;0 → v_EDIT_AUTH_SalesAmt_LOC='Y'</t>
        </is>
      </c>
      <c r="E53" s="10" t="inlineStr">
        <is>
          <t>메저별 편집권한 룩업에서 SalesAmt_LOC 권한이 있으면 매출금액(LOC) 셀 편집 허용.</t>
        </is>
      </c>
      <c r="F53" s="9" t="inlineStr">
        <is>
          <t>SCM_ADM_LOOKUP_MASTER_DETAIL</t>
        </is>
      </c>
      <c r="G53" s="9" t="inlineStr"/>
      <c r="H53" s="9" t="inlineStr">
        <is>
          <t>260-273</t>
        </is>
      </c>
      <c r="I53" s="9" t="inlineStr">
        <is>
          <t>PJ2025-50188. E20260331 SEGMENT3=division 로 변경(구:LEFT(division,2)). p_cur_edit_auth 반환.</t>
        </is>
      </c>
    </row>
    <row r="54" ht="30" customHeight="1">
      <c r="A54" s="9" t="n">
        <v>35</v>
      </c>
      <c r="B54" s="9" t="inlineStr">
        <is>
          <t>DATAEX</t>
        </is>
      </c>
      <c r="C54" s="9" t="inlineStr">
        <is>
          <t>Lookup참조</t>
        </is>
      </c>
      <c r="D54" s="9" t="inlineStr">
        <is>
          <t>GET_ADMIN_GROUP_MEASURE(SEGMENT4='RTF_SYS_RP'): COUNT&gt;0 → v_EDIT_AUTH_RTF_SYS_RP='Y'</t>
        </is>
      </c>
      <c r="E54" s="10" t="inlineStr">
        <is>
          <t>동일 룩업에서 RTF_SYS_RP 권한이 있으면 RTF 셀 편집 허용.</t>
        </is>
      </c>
      <c r="F54" s="9" t="inlineStr">
        <is>
          <t>SCM_ADM_LOOKUP_MASTER_DETAIL</t>
        </is>
      </c>
      <c r="G54" s="9" t="inlineStr"/>
      <c r="H54" s="9" t="inlineStr">
        <is>
          <t>275-287</t>
        </is>
      </c>
      <c r="I54" s="9" t="inlineStr">
        <is>
          <t>PJ2025-50188/E20260331 자동차 RTF 수정기능 우선적용.</t>
        </is>
      </c>
    </row>
    <row r="55" ht="30" customHeight="1">
      <c r="A55" s="9" t="n">
        <v>36</v>
      </c>
      <c r="B55" s="9" t="inlineStr">
        <is>
          <t>DATAEX</t>
        </is>
      </c>
      <c r="C55" s="9" t="inlineStr">
        <is>
          <t>Lookup참조</t>
        </is>
      </c>
      <c r="D55" s="9" t="inlineStr">
        <is>
          <t>PM_TEAM_MAPPING: USR.DEPT_ID=SEGMENT1 → LISTAGG(SEGMENT3) = v_dept_list (매핑없으면 자기부서)</t>
        </is>
      </c>
      <c r="E55" s="10" t="inlineStr">
        <is>
          <t>편집 판정용 팀(부서) 목록을 팀매핑 룩업 + 자기부서 UNION 으로 산출.</t>
        </is>
      </c>
      <c r="F55" s="9" t="inlineStr">
        <is>
          <t>TB_FX_User, SCM_ADM_LOOKUP_MASTER_DETAIL</t>
        </is>
      </c>
      <c r="G55" s="9" t="inlineStr"/>
      <c r="H55" s="9" t="inlineStr">
        <is>
          <t>294-311</t>
        </is>
      </c>
      <c r="I55" s="9" t="inlineStr">
        <is>
          <t>C20210504-000057 STUFF+FOR XML→LISTAGG. SALES_PLAN_ADJUST_YN dept LIKE 판정에 사용.</t>
        </is>
      </c>
    </row>
    <row r="56" ht="30" customHeight="1">
      <c r="A56" s="9" t="n">
        <v>37</v>
      </c>
      <c r="B56" s="9" t="inlineStr">
        <is>
          <t>DATAEX</t>
        </is>
      </c>
      <c r="C56" s="9" t="inlineStr">
        <is>
          <t>Lookup참조</t>
        </is>
      </c>
      <c r="D56" s="9" t="inlineStr">
        <is>
          <t>TMM_MEASURE_ADMIN: MEASURE='TMM_FCST'일 때 USER_ID=SEGMENT4 (권한자만 TMM 메저)</t>
        </is>
      </c>
      <c r="E56" s="10" t="inlineStr">
        <is>
          <t>TMM_FCST 메저는 룩업에 등록된 관리자만 조회 가능.</t>
        </is>
      </c>
      <c r="F56" s="9" t="inlineStr">
        <is>
          <t>SCM_ADM_LOOKUP_MASTER_DETAIL</t>
        </is>
      </c>
      <c r="G56" s="9" t="inlineStr"/>
      <c r="H56" s="9" t="inlineStr">
        <is>
          <t>390-399</t>
        </is>
      </c>
      <c r="I56" s="9" t="inlineStr">
        <is>
          <t>20200309 TMM 메저 권한.</t>
        </is>
      </c>
    </row>
    <row r="57" ht="30" customHeight="1">
      <c r="A57" s="9" t="n">
        <v>38</v>
      </c>
      <c r="B57" s="9" t="inlineStr">
        <is>
          <t>DATAEX</t>
        </is>
      </c>
      <c r="C57" s="9" t="inlineStr">
        <is>
          <t>Lookup참조</t>
        </is>
      </c>
      <c r="D57" s="9" t="inlineStr">
        <is>
          <t>DM_SALES_PLAN_WATERFALL_SP_W_ADD: FCST_TYPE/ITEM_ID(SEGMENT2/3, SEGMENT1=division) NOT IN 조건으로 계획 적재 제외</t>
        </is>
      </c>
      <c r="E57" s="10" t="inlineStr">
        <is>
          <t>마이그레이션(워터폴) 임시데이터에 해당하는 FCST_TYPE·모델은 계획 조회에서 제외.</t>
        </is>
      </c>
      <c r="F57" s="9" t="inlineStr">
        <is>
          <t>SCM_ADM_LOOKUP_MASTER_DETAIL</t>
        </is>
      </c>
      <c r="G57" s="9" t="inlineStr"/>
      <c r="H57" s="9" t="inlineStr">
        <is>
          <t>493-500</t>
        </is>
      </c>
      <c r="I57" s="9" t="inlineStr">
        <is>
          <t>마이그레이션 데이터 정리 시 조건 삭제 예정.</t>
        </is>
      </c>
    </row>
    <row r="58" ht="30" customHeight="1">
      <c r="A58" s="9" t="n">
        <v>39</v>
      </c>
      <c r="B58" s="9" t="inlineStr">
        <is>
          <t>DATAEX</t>
        </is>
      </c>
      <c r="C58" s="9" t="inlineStr">
        <is>
          <t>Lookup참조</t>
        </is>
      </c>
      <c r="D58" s="9" t="inlineStr">
        <is>
          <t>SALES_PLAN_CATCHUP: MEASURE NOT IN(SEGMENT2) — CatchUp 메저 계획(DM_PLN_SALES_PLAN) 적재 제외</t>
        </is>
      </c>
      <c r="E58" s="10" t="inlineStr">
        <is>
          <t>Catch Up 메저는 별도 처리되므로 기본 계획 적재에서 뺌.</t>
        </is>
      </c>
      <c r="F58" s="9" t="inlineStr">
        <is>
          <t>SCM_ADM_LOOKUP_MASTER_DETAIL</t>
        </is>
      </c>
      <c r="G58" s="9" t="inlineStr"/>
      <c r="H58" s="9" t="inlineStr">
        <is>
          <t>501-503</t>
        </is>
      </c>
      <c r="I58" s="9" t="inlineStr"/>
    </row>
    <row r="59" ht="30" customHeight="1">
      <c r="A59" s="9" t="n">
        <v>40</v>
      </c>
      <c r="B59" s="9" t="inlineStr">
        <is>
          <t>DATAEX</t>
        </is>
      </c>
      <c r="C59" s="9" t="inlineStr">
        <is>
          <t>Lookup참조</t>
        </is>
      </c>
      <c r="D59" s="9" t="inlineStr">
        <is>
          <t>DM_BIZ_TYPE_40: SEGMENT1='40', RANK() PARTITION BY SEGMENT2 ORDER BY DISPLAY_SEQ DESC, MODEL_RANK=1</t>
        </is>
      </c>
      <c r="E59" s="10" t="inlineStr">
        <is>
          <t>40 사업부 모델별 BizType/CellPackCount 를 표시순 최상위 1건으로 결정.</t>
        </is>
      </c>
      <c r="F59" s="9" t="inlineStr">
        <is>
          <t>SCM_ADM_LOOKUP_MASTER_DETAIL</t>
        </is>
      </c>
      <c r="G59" s="9" t="inlineStr"/>
      <c r="H59" s="9" t="inlineStr">
        <is>
          <t>782-787</t>
        </is>
      </c>
      <c r="I59" s="9" t="inlineStr">
        <is>
          <t>40 전용. RANK 최신 1건 채택.</t>
        </is>
      </c>
    </row>
    <row r="60" ht="18" customHeight="1">
      <c r="A60" s="9" t="n">
        <v>41</v>
      </c>
      <c r="B60" s="9" t="inlineStr">
        <is>
          <t>DATAEX(동적SQL)</t>
        </is>
      </c>
      <c r="C60" s="9" t="inlineStr">
        <is>
          <t>Lookup참조</t>
        </is>
      </c>
      <c r="D60" s="9" t="inlineStr">
        <is>
          <t>CELL_TYPE: E.SEGMENT1=D.CELL_TYPE → E.SEGMENT2 AS CELL_TYPE 표시</t>
        </is>
      </c>
      <c r="E60" s="10" t="inlineStr">
        <is>
          <t>셀타입 코드를 룩업 표시명으로 치환.</t>
        </is>
      </c>
      <c r="F60" s="9" t="inlineStr">
        <is>
          <t>SCM_ADM_LOOKUP_MASTER_DETAIL</t>
        </is>
      </c>
      <c r="G60" s="9" t="inlineStr"/>
      <c r="H60" s="9" t="inlineStr">
        <is>
          <t>1658</t>
        </is>
      </c>
      <c r="I60" s="9" t="inlineStr">
        <is>
          <t>WF 조인 E.</t>
        </is>
      </c>
    </row>
    <row r="61" ht="30" customHeight="1">
      <c r="A61" s="9" t="n">
        <v>42</v>
      </c>
      <c r="B61" s="9" t="inlineStr">
        <is>
          <t>DATAEX(동적SQL)</t>
        </is>
      </c>
      <c r="C61" s="9" t="inlineStr">
        <is>
          <t>Lookup참조</t>
        </is>
      </c>
      <c r="D61" s="9" t="inlineStr">
        <is>
          <t>DM_MEASURE_POSITIONAL_NOTATION: O.SEGMENT1=division AND O.SEGMENT2=measure → NVL(SEGMENT3,'DEFAULT') AS NOTATION</t>
        </is>
      </c>
      <c r="E61" s="10" t="inlineStr">
        <is>
          <t>메저별 숫자표기 방식(소수점 등)을 사업부·메저별 룩업으로 지정, 없으면 DEFAULT.</t>
        </is>
      </c>
      <c r="F61" s="9" t="inlineStr">
        <is>
          <t>SCM_ADM_LOOKUP_MASTER_DETAIL</t>
        </is>
      </c>
      <c r="G61" s="9" t="inlineStr"/>
      <c r="H61" s="9" t="inlineStr">
        <is>
          <t>1665,1571,1652</t>
        </is>
      </c>
      <c r="I61" s="9" t="inlineStr">
        <is>
          <t>E20231128-000738 82 숫자표기. NOTATION 컬럼 PIVOT 차원.</t>
        </is>
      </c>
    </row>
    <row r="62" ht="30" customHeight="1">
      <c r="A62" s="9" t="n">
        <v>43</v>
      </c>
      <c r="B62" s="9" t="inlineStr">
        <is>
          <t>MEASUREINFO</t>
        </is>
      </c>
      <c r="C62" s="9" t="inlineStr">
        <is>
          <t>Lookup참조</t>
        </is>
      </c>
      <c r="D62" s="9" t="inlineStr">
        <is>
          <t>DM_SALES_PLAN_MEASURE: VALID_YN='Y' → SEGMENT1(CODE)/SEGMENT2(NAME)/DISPLAY_SEQ ORDER BY DISPLAY_SEQ</t>
        </is>
      </c>
      <c r="E62" s="10" t="inlineStr">
        <is>
          <t>메저 선택 팝업 목록을 룩업에서 조회(구 SCM_MST_SHEET_MEASURE 대체).</t>
        </is>
      </c>
      <c r="F62" s="9" t="inlineStr">
        <is>
          <t>SCM_ADM_LOOKUP_MASTER_DETAIL</t>
        </is>
      </c>
      <c r="G62" s="9" t="inlineStr"/>
      <c r="H62" s="9" t="inlineStr">
        <is>
          <t>34-40</t>
        </is>
      </c>
      <c r="I62" s="9" t="inlineStr">
        <is>
          <t>PJ2024-50611 룩업 전환.</t>
        </is>
      </c>
    </row>
    <row r="63" ht="30" customHeight="1">
      <c r="A63" s="9" t="n">
        <v>44</v>
      </c>
      <c r="B63" s="9" t="inlineStr">
        <is>
          <t>SAVE</t>
        </is>
      </c>
      <c r="C63" s="9" t="inlineStr">
        <is>
          <t>Lookup참조</t>
        </is>
      </c>
      <c r="D63" s="9" t="inlineStr">
        <is>
          <t>MKT_FCST_VALIDATION_PRICE: SEGMENT1='FCST_TYPE', VALID_YN='Y' → SEGMENT2 BULK COLLECT T_FCST_TYPE (판가검증 예외 FcstType)</t>
        </is>
      </c>
      <c r="E63" s="10" t="inlineStr">
        <is>
          <t>Catch Up 판가 검증에서 제외할 FcstType 목록을 룩업에서 로드.</t>
        </is>
      </c>
      <c r="F63" s="9" t="inlineStr">
        <is>
          <t>SCM_ADM_LOOKUP_MASTER_DETAIL</t>
        </is>
      </c>
      <c r="G63" s="9" t="inlineStr">
        <is>
          <t>MSG00328</t>
        </is>
      </c>
      <c r="H63" s="9" t="inlineStr">
        <is>
          <t>415-420</t>
        </is>
      </c>
      <c r="I63" s="9" t="inlineStr">
        <is>
          <t>T_STR_TAB BULK COLLECT.</t>
        </is>
      </c>
    </row>
    <row r="64" ht="30" customHeight="1">
      <c r="A64" s="9" t="n">
        <v>45</v>
      </c>
      <c r="B64" s="9" t="inlineStr">
        <is>
          <t>SAVE</t>
        </is>
      </c>
      <c r="C64" s="9" t="inlineStr">
        <is>
          <t>Lookup참조</t>
        </is>
      </c>
      <c r="D64" s="9" t="inlineStr">
        <is>
          <t>SALES_TYPE_CODE: SEGMENT1=V_FCST_TYPE → SEGMENT2 (MSG00462 메시지 FcstType 표시명), NERP_CONV_MASTER CODETYPE='INCOTERMS_ID' OLD_VALUE1 (MSG00467)</t>
        </is>
      </c>
      <c r="E64" s="10" t="inlineStr">
        <is>
          <t>검증 실패 메시지에 표시할 FcstType 명칭 조회 및 구 Incoterms 값 차단 참조.</t>
        </is>
      </c>
      <c r="F64" s="9" t="inlineStr">
        <is>
          <t>SCM_ADM_LOOKUP_MASTER_DETAIL, NERP_CONV_MASTER</t>
        </is>
      </c>
      <c r="G64" s="9" t="inlineStr">
        <is>
          <t>MSG00462,MSG00467</t>
        </is>
      </c>
      <c r="H64" s="9" t="inlineStr">
        <is>
          <t>516,298</t>
        </is>
      </c>
      <c r="I64" s="9" t="inlineStr">
        <is>
          <t>E20250919-001699 N-ERP Incoterms 전환.</t>
        </is>
      </c>
    </row>
    <row r="65" ht="30" customHeight="1">
      <c r="A65" s="9" t="n">
        <v>46</v>
      </c>
      <c r="B65" s="9" t="inlineStr">
        <is>
          <t>ALL</t>
        </is>
      </c>
      <c r="C65" s="9" t="inlineStr">
        <is>
          <t>검증·오류</t>
        </is>
      </c>
      <c r="D65" s="9" t="inlineStr">
        <is>
          <t>EXCEPTION WHEN OTHERS → ROLLBACK + PR_SCM_SYS_LOG_BATCH('ERROR',JSON_OBJECT params,SQLCODE,SQLERRM,BACKTRACE) + RAISE_APPLICATION_ERROR(-20001,...) + RAISE</t>
        </is>
      </c>
      <c r="E65" s="10" t="inlineStr">
        <is>
          <t>예기치 못한 오류는 롤백 후 로그 적재하고 -20001 로 상세(코드/메시지/스택/파라미터) 전달.</t>
        </is>
      </c>
      <c r="F65" s="9" t="inlineStr">
        <is>
          <t>PR_SCM_SYS_LOG_BATCH, SCM_COM_SYS_LOG</t>
        </is>
      </c>
      <c r="G65" s="9" t="inlineStr">
        <is>
          <t>-20001</t>
        </is>
      </c>
      <c r="H65" s="9" t="inlineStr">
        <is>
          <t>SAVE 1268-1293 / GET SP 공통</t>
        </is>
      </c>
      <c r="I65" s="9" t="inlineStr">
        <is>
          <t>6개 SP 전부 동일 표준 예외블록. InvocationTargetException wrapper 주의.</t>
        </is>
      </c>
    </row>
    <row r="66" ht="30" customHeight="1">
      <c r="A66" s="9" t="n">
        <v>47</v>
      </c>
      <c r="B66" s="9" t="inlineStr">
        <is>
          <t>SAVE</t>
        </is>
      </c>
      <c r="C66" s="9" t="inlineStr">
        <is>
          <t>검증·오류</t>
        </is>
      </c>
      <c r="D66" s="9" t="inlineStr">
        <is>
          <t>V_INCOTERMS IN (NERP_CONV_MASTER.OLD_VALUE1 WHERE CODETYPE='INCOTERMS_ID') → MSG00467 ROLLBACK</t>
        </is>
      </c>
      <c r="E66" s="10" t="inlineStr">
        <is>
          <t>N-ERP 전환된 구 Incoterms 코드로 저장 시도하면 거부.</t>
        </is>
      </c>
      <c r="F66" s="9" t="inlineStr">
        <is>
          <t>GT_F021_SALES_PLAN, NERP_CONV_MASTER</t>
        </is>
      </c>
      <c r="G66" s="9" t="inlineStr">
        <is>
          <t>MSG00467</t>
        </is>
      </c>
      <c r="H66" s="9" t="inlineStr">
        <is>
          <t>292-306</t>
        </is>
      </c>
      <c r="I66" s="9" t="inlineStr">
        <is>
          <t>E20250919-001699.</t>
        </is>
      </c>
    </row>
    <row r="67" ht="30" customHeight="1">
      <c r="A67" s="9" t="n">
        <v>48</v>
      </c>
      <c r="B67" s="9" t="inlineStr">
        <is>
          <t>SAVE</t>
        </is>
      </c>
      <c r="C67" s="9" t="inlineStr">
        <is>
          <t>검증·오류</t>
        </is>
      </c>
      <c r="D67" s="9" t="inlineStr">
        <is>
          <t>V_PROJECT_CODE&lt;&gt;'N' AND division&lt;&gt;'40' AND SCM_MST_PROJECT 미존재 (ROWNUM=1) → MSG00457</t>
        </is>
      </c>
      <c r="E67" s="10" t="inlineStr">
        <is>
          <t>존재하지 않는 프로젝트코드 저장 거부(40·'N' 예외).</t>
        </is>
      </c>
      <c r="F67" s="9" t="inlineStr">
        <is>
          <t>SCM_MST_PROJECT</t>
        </is>
      </c>
      <c r="G67" s="9" t="inlineStr">
        <is>
          <t>MSG00457</t>
        </is>
      </c>
      <c r="H67" s="9" t="inlineStr">
        <is>
          <t>308-327</t>
        </is>
      </c>
      <c r="I67" s="9">
        <f> C-D15.</f>
        <v/>
      </c>
    </row>
    <row r="68" ht="30" customHeight="1">
      <c r="A68" s="9" t="n">
        <v>49</v>
      </c>
      <c r="B68" s="9" t="inlineStr">
        <is>
          <t>SAVE</t>
        </is>
      </c>
      <c r="C68" s="9" t="inlineStr">
        <is>
          <t>검증·오류</t>
        </is>
      </c>
      <c r="D68" s="9" t="inlineStr">
        <is>
          <t>GT_F021_DATA_DUP(INVALID2+4 통합): 신규(I) LOC/RTF 가 이미 대상테이블에 존재 → MSG00428 상세 diff 메시지</t>
        </is>
      </c>
      <c r="E68" s="10" t="inlineStr">
        <is>
          <t>신규 입력인데 동일 키가 이미 저장돼 있으면(중복) 거부하고 어떤 행인지 상세 표시.</t>
        </is>
      </c>
      <c r="F68" s="9" t="inlineStr">
        <is>
          <t>GT_F021_SALES_PLAN_LOC/RTF, DM_PLN_SALES_ETC_PLAN, DM_PLN_SALES_PLAN</t>
        </is>
      </c>
      <c r="G68" s="9" t="inlineStr">
        <is>
          <t>MSG00428</t>
        </is>
      </c>
      <c r="H68" s="9" t="inlineStr">
        <is>
          <t>329-389</t>
        </is>
      </c>
      <c r="I68" s="9" t="inlineStr">
        <is>
          <t>E20250520-000572 INVALID2/4 통합. CHR(10) 다항목 메시지.</t>
        </is>
      </c>
    </row>
    <row r="69" ht="18" customHeight="1">
      <c r="A69" s="9" t="n">
        <v>50</v>
      </c>
      <c r="B69" s="9" t="inlineStr">
        <is>
          <t>SAVE</t>
        </is>
      </c>
      <c r="C69" s="9" t="inlineStr">
        <is>
          <t>검증·오류</t>
        </is>
      </c>
      <c r="D69" s="9" t="inlineStr">
        <is>
          <t>division='40' AND measure='Catch_Up' AND SCM_MST_SITE_ITEM 미존재 → MSG00458</t>
        </is>
      </c>
      <c r="E69" s="10" t="inlineStr">
        <is>
          <t>Site-Item 미등록 모델의 Catch Up 저장 거부.</t>
        </is>
      </c>
      <c r="F69" s="9" t="inlineStr">
        <is>
          <t>SCM_MST_SITE_ITEM</t>
        </is>
      </c>
      <c r="G69" s="9" t="inlineStr">
        <is>
          <t>MSG00458</t>
        </is>
      </c>
      <c r="H69" s="9" t="inlineStr">
        <is>
          <t>391-412</t>
        </is>
      </c>
      <c r="I69" s="9">
        <f> C-D16.</f>
        <v/>
      </c>
    </row>
    <row r="70" ht="30" customHeight="1">
      <c r="A70" s="9" t="n">
        <v>51</v>
      </c>
      <c r="B70" s="9" t="inlineStr">
        <is>
          <t>SAVE</t>
        </is>
      </c>
      <c r="C70" s="9" t="inlineStr">
        <is>
          <t>검증·오류</t>
        </is>
      </c>
      <c r="D70" s="9" t="inlineStr">
        <is>
          <t>division='40' AND measure='Catch_Up' AND FCST_TYPE NOT IN(T_FCST_TYPE) AND DM_PLN_CFM_SELLING_PRICE(LOC,월6자리) 미존재 → MSG00328</t>
        </is>
      </c>
      <c r="E70" s="10" t="inlineStr">
        <is>
          <t>Catch Up 모델에 해당 월 LOC 판가가 없으면(예외 FcstType 제외) 거부.</t>
        </is>
      </c>
      <c r="F70" s="9" t="inlineStr">
        <is>
          <t>DM_PLN_CFM_SELLING_PRICE</t>
        </is>
      </c>
      <c r="G70" s="9" t="inlineStr">
        <is>
          <t>MSG00328</t>
        </is>
      </c>
      <c r="H70" s="9" t="inlineStr">
        <is>
          <t>422-449</t>
        </is>
      </c>
      <c r="I70" s="9" t="inlineStr">
        <is>
          <t>판가 존재 필수. SUBSTR(YYYYMMDD,1,6) 월단위 매칭.</t>
        </is>
      </c>
    </row>
    <row r="71" ht="18" customHeight="1">
      <c r="A71" s="9" t="n">
        <v>52</v>
      </c>
      <c r="B71" s="9" t="inlineStr">
        <is>
          <t>SAVE</t>
        </is>
      </c>
      <c r="C71" s="9" t="inlineStr">
        <is>
          <t>검증·오류</t>
        </is>
      </c>
      <c r="D71" s="9" t="inlineStr">
        <is>
          <t>FCST_TYPE='RMA' AND MEASURE='RTF_SYS_RP' AND NVL(V_QTY,0)&gt;0 → MSG00459</t>
        </is>
      </c>
      <c r="E71" s="10" t="inlineStr">
        <is>
          <t>RMA(반품) RTF 값은 양수일 수 없음(음수여야).</t>
        </is>
      </c>
      <c r="F71" s="9" t="inlineStr">
        <is>
          <t>GT_F021_SALES_PLAN</t>
        </is>
      </c>
      <c r="G71" s="9" t="inlineStr">
        <is>
          <t>MSG00459</t>
        </is>
      </c>
      <c r="H71" s="9" t="inlineStr">
        <is>
          <t>451-461</t>
        </is>
      </c>
      <c r="I71" s="9" t="inlineStr">
        <is>
          <t>RMA 부호 검증.</t>
        </is>
      </c>
    </row>
    <row r="72" ht="18" customHeight="1">
      <c r="A72" s="9" t="n">
        <v>53</v>
      </c>
      <c r="B72" s="9" t="inlineStr">
        <is>
          <t>SAVE</t>
        </is>
      </c>
      <c r="C72" s="9" t="inlineStr">
        <is>
          <t>검증·오류</t>
        </is>
      </c>
      <c r="D72" s="9" t="inlineStr">
        <is>
          <t>FCST_TYPE&lt;&gt;'RMA' AND MEASURE='RTF_SYS_RP' AND NVL(V_QTY,0)&lt;0 → MSG00460</t>
        </is>
      </c>
      <c r="E72" s="10" t="inlineStr">
        <is>
          <t>RMA 이외 RTF 값은 음수일 수 없음.</t>
        </is>
      </c>
      <c r="F72" s="9" t="inlineStr">
        <is>
          <t>GT_F021_SALES_PLAN</t>
        </is>
      </c>
      <c r="G72" s="9" t="inlineStr">
        <is>
          <t>MSG00460</t>
        </is>
      </c>
      <c r="H72" s="9" t="inlineStr">
        <is>
          <t>463-473</t>
        </is>
      </c>
      <c r="I72" s="9" t="inlineStr">
        <is>
          <t>RMA 대칭 부호 검증.</t>
        </is>
      </c>
    </row>
    <row r="73" ht="30" customHeight="1">
      <c r="A73" s="9" t="n">
        <v>54</v>
      </c>
      <c r="B73" s="9" t="inlineStr">
        <is>
          <t>SAVE</t>
        </is>
      </c>
      <c r="C73" s="9" t="inlineStr">
        <is>
          <t>검증·오류</t>
        </is>
      </c>
      <c r="D73" s="9" t="inlineStr">
        <is>
          <t>RTF_SYS_RP(QTY&lt;&gt;0, FCST_TYPE&lt;&gt;'ETC') 에 대응하는 DM_PLN_CFM_SELLING_PRICE(LOC, END_CUSTOMER=PROJECT_CODE 조인) 판가 부재 → MSG00462</t>
        </is>
      </c>
      <c r="E73" s="10" t="inlineStr">
        <is>
          <t>RTF 저장 시 해당 주에 확정 LOC 판가가 없으면 거부(주차 상세 표시).</t>
        </is>
      </c>
      <c r="F73" s="9" t="inlineStr">
        <is>
          <t>GT_F021_PRICE_RTF_SYS_RP, DM_PLN_CFM_SELLING_PRICE, SCM_SYS_CALENDAR_M</t>
        </is>
      </c>
      <c r="G73" s="9" t="inlineStr">
        <is>
          <t>MSG00462</t>
        </is>
      </c>
      <c r="H73" s="9" t="inlineStr">
        <is>
          <t>475-528</t>
        </is>
      </c>
      <c r="I73" s="9" t="inlineStr">
        <is>
          <t>END_CUSTOMER=PROJECT_CODE 이중 조인. WEEK_NAME 표시.</t>
        </is>
      </c>
    </row>
    <row r="74" ht="30" customHeight="1">
      <c r="A74" s="9" t="n">
        <v>55</v>
      </c>
      <c r="B74" s="9" t="inlineStr">
        <is>
          <t>SAVE</t>
        </is>
      </c>
      <c r="C74" s="9" t="inlineStr">
        <is>
          <t>검증·오류</t>
        </is>
      </c>
      <c r="D74" s="9" t="inlineStr">
        <is>
          <t>GT_F021_SALES_PLAN_LOC GROUP BY 키 HAVING COUNT(*)&gt;1 (동일일자 CURRENCY 중복) → MSG00461</t>
        </is>
      </c>
      <c r="E74" s="10" t="inlineStr">
        <is>
          <t>같은 키/일자에 통화가 중복 입력되면 거부.</t>
        </is>
      </c>
      <c r="F74" s="9" t="inlineStr">
        <is>
          <t>GT_F021_SALES_PLAN_LOC</t>
        </is>
      </c>
      <c r="G74" s="9" t="inlineStr">
        <is>
          <t>MSG00461</t>
        </is>
      </c>
      <c r="H74" s="9" t="inlineStr">
        <is>
          <t>530-552</t>
        </is>
      </c>
      <c r="I74" s="9" t="inlineStr">
        <is>
          <t>E20250401-000548 SMS 선감지.</t>
        </is>
      </c>
    </row>
    <row r="75" ht="30" customHeight="1">
      <c r="A75" s="9" t="n">
        <v>56</v>
      </c>
      <c r="B75" s="9" t="inlineStr">
        <is>
          <t>SAVE</t>
        </is>
      </c>
      <c r="C75" s="9" t="inlineStr">
        <is>
          <t>검증·오류</t>
        </is>
      </c>
      <c r="D75" s="9" t="inlineStr">
        <is>
          <t>VALIDATION_FAIL 라벨: ROLLBACK → PR_SCM_SYS_LOG_BATCH(INVALID) → OPEN O_RESULT_CURSOR ('-1','ERR_RTN: - Validation Check', V_S_CODE||'^'||V_S_VALIDATION)</t>
        </is>
      </c>
      <c r="E75" s="10" t="inlineStr">
        <is>
          <t>검증 실패 시 전체 롤백하고 -1 + MSG코드^상세 를 커서로 반환(FE 팝업).</t>
        </is>
      </c>
      <c r="F75" s="9" t="inlineStr">
        <is>
          <t>O_RESULT_CURSOR</t>
        </is>
      </c>
      <c r="G75" s="9" t="inlineStr">
        <is>
          <t>V_S_CODE^V_S_VALIDATION</t>
        </is>
      </c>
      <c r="H75" s="9" t="inlineStr">
        <is>
          <t>1251-1266</t>
        </is>
      </c>
      <c r="I75" s="9" t="inlineStr">
        <is>
          <t>성공은 '0'/'SUCCESS'/EVENT(건수). FE 는 CODE!='0' 시 alert.</t>
        </is>
      </c>
    </row>
    <row r="76" ht="30" customHeight="1">
      <c r="A76" s="9" t="n">
        <v>57</v>
      </c>
      <c r="B76" s="9" t="inlineStr">
        <is>
          <t>DATAEX</t>
        </is>
      </c>
      <c r="C76" s="9" t="inlineStr">
        <is>
          <t>편집제약</t>
        </is>
      </c>
      <c r="D76" s="9" t="inlineStr">
        <is>
          <t>p_cur_edit_auth 커서: v_EDIT_AUTH_SalesAmt_LOC, v_EDIT_AUTH_RTF_SYS_RP (기본 'N') FROM DUAL</t>
        </is>
      </c>
      <c r="E76" s="10" t="inlineStr">
        <is>
          <t>SalesAmt_LOC·RTF_SYS_RP 메저의 편집가능 여부를 3번째 커서로 FE에 전달.</t>
        </is>
      </c>
      <c r="F76" s="9" t="inlineStr">
        <is>
          <t>GET_ADMIN_GROUP_MEASURE 룩업(C-L02/L03)</t>
        </is>
      </c>
      <c r="G76" s="9" t="inlineStr"/>
      <c r="H76" s="9" t="inlineStr">
        <is>
          <t>1732-1735</t>
        </is>
      </c>
      <c r="I76" s="9" t="inlineStr">
        <is>
          <t>PJ2025-50017 세번째 결과셋. FE 메저 편집락 근거.</t>
        </is>
      </c>
    </row>
    <row r="77" ht="30" customHeight="1">
      <c r="A77" s="9" t="n">
        <v>58</v>
      </c>
      <c r="B77" s="9" t="inlineStr">
        <is>
          <t>DATAEX</t>
        </is>
      </c>
      <c r="C77" s="9" t="inlineStr">
        <is>
          <t>편집제약</t>
        </is>
      </c>
      <c r="D77" s="9" t="inlineStr">
        <is>
          <t>SALES_PLAN_ADJUST_YN 2차: v_dept_list LIKE '%'||dept||'%' OR v_group_id='ADMIN' → 'Y' else 'N'. 최종=1차(Y_/N_)||2차 → 'Y_Y'만 편집가능</t>
        </is>
      </c>
      <c r="E77" s="10" t="inlineStr">
        <is>
          <t>셀 편집 최종 판정: (사업부·메저 허용) AND (내 팀 데이터 or ADMIN) 둘 다여야 편집 가능.</t>
        </is>
      </c>
      <c r="F77" s="9" t="inlineStr">
        <is>
          <t>v_dept_list(C-L04), v_group_id(C-L01)</t>
        </is>
      </c>
      <c r="G77" s="9" t="inlineStr"/>
      <c r="H77" s="9" t="inlineStr">
        <is>
          <t>1641-1650</t>
        </is>
      </c>
      <c r="I77" s="9" t="inlineStr">
        <is>
          <t>1차(C-D18)와 concat. dept 소스 ETC/40 분기 포함.</t>
        </is>
      </c>
    </row>
    <row r="78" ht="30" customHeight="1">
      <c r="A78" s="9" t="n">
        <v>59</v>
      </c>
      <c r="B78" s="9" t="inlineStr">
        <is>
          <t>DATAEX</t>
        </is>
      </c>
      <c r="C78" s="9" t="inlineStr">
        <is>
          <t>편집제약</t>
        </is>
      </c>
      <c r="D78" s="9" t="inlineStr">
        <is>
          <t>당주 구간 RTF 수정 관련: RTF_SYS_RP 실적/계획 경계 및 E20251120-001430 파셔주차 보정</t>
        </is>
      </c>
      <c r="E78" s="10" t="inlineStr">
        <is>
          <t>당주 구간의 RTF 수정 불가 이슈 개선 — 당주/전주 달력정보(C-C12)와 결합해 편집 가능 주 판정.</t>
        </is>
      </c>
      <c r="F78" s="9" t="inlineStr">
        <is>
          <t>p_cur_calendar</t>
        </is>
      </c>
      <c r="G78" s="9" t="inlineStr"/>
      <c r="H78" s="9" t="inlineStr">
        <is>
          <t>136(history),1709-1727</t>
        </is>
      </c>
      <c r="I78" s="9" t="inlineStr">
        <is>
          <t>E20251120-001430 당주 RTF 수정불가 개선.</t>
        </is>
      </c>
    </row>
    <row r="79" ht="60" customHeight="1">
      <c r="A79" s="9" t="n">
        <v>60</v>
      </c>
      <c r="B79" s="9" t="inlineStr">
        <is>
          <t>MEASUREINFO2</t>
        </is>
      </c>
      <c r="C79" s="9" t="inlineStr">
        <is>
          <t>편집제약</t>
        </is>
      </c>
      <c r="D79" s="9" t="inlineStr">
        <is>
          <t>EDIT_YN = NVL(T2.EDIT_YN,'N'), T2=SCM_ADM_USER_MNU_EDIT_AUTH_V WHERE USER_ID/MNU_ID/UNIT_TP_CD='D' AND UNIT_ID IN split(DIVISION_ID), COLUMN_NAME LIKE 'SalesAmt%'</t>
        </is>
      </c>
      <c r="E79" s="10" t="inlineStr">
        <is>
          <t>SalesAmt 계열 메저의 편집권한을 사용자·메뉴·사업부(D단위) 권한뷰에서 조회.</t>
        </is>
      </c>
      <c r="F79" s="9" t="inlineStr">
        <is>
          <t>SCM_MST_SHEET_MEASURE, SCM_ADM_USER_MNU_EDIT_AUTH_V</t>
        </is>
      </c>
      <c r="G79" s="9" t="inlineStr"/>
      <c r="H79" s="9" t="inlineStr">
        <is>
          <t>34-53</t>
        </is>
      </c>
      <c r="I79" s="9" t="inlineStr">
        <is>
          <t>★divergence: standalone=LEFT JOIN(2026.06.08 fix, DIVISION_ID NULL 메저 복원) / PKG body=INNER JOIN(구버전, 0행 버그). PROGRAM_ID='DMF1007'(구코드) 주의.</t>
        </is>
      </c>
    </row>
    <row r="80" ht="30" customHeight="1">
      <c r="A80" s="9" t="n">
        <v>61</v>
      </c>
      <c r="B80" s="9" t="inlineStr">
        <is>
          <t>SAVE</t>
        </is>
      </c>
      <c r="C80" s="9" t="inlineStr">
        <is>
          <t>편집제약</t>
        </is>
      </c>
      <c r="D80" s="9" t="inlineStr">
        <is>
          <t>V_ACTIVE_FLAG 파생: 'I'(신규/수정)/'D'(삭제). 파생 INSERT는 V_ACTIVE_FLAG&lt;&gt;'D' 만, HISTORY는 전체</t>
        </is>
      </c>
      <c r="E80" s="10" t="inlineStr">
        <is>
          <t>행 플래그로 저장/삭제 구분. 파생 메저·본테이블 INSERT는 삭제행 제외, 이력은 전부 기록.</t>
        </is>
      </c>
      <c r="F80" s="9" t="inlineStr">
        <is>
          <t>GT_F021_SALES_PLAN(_LOC/_RTF)</t>
        </is>
      </c>
      <c r="G80" s="9" t="inlineStr"/>
      <c r="H80" s="9" t="inlineStr">
        <is>
          <t>349,759,865,921,1001</t>
        </is>
      </c>
      <c r="I80" s="9" t="inlineStr">
        <is>
          <t>I/D 플래그가 delete/insert 경로 및 event_count 결정.</t>
        </is>
      </c>
    </row>
    <row r="81" ht="30" customHeight="1">
      <c r="A81" s="9" t="n">
        <v>62</v>
      </c>
      <c r="B81" s="9" t="inlineStr">
        <is>
          <t>SAVE</t>
        </is>
      </c>
      <c r="C81" s="9" t="inlineStr">
        <is>
          <t>편집제약</t>
        </is>
      </c>
      <c r="D81" s="9" t="inlineStr">
        <is>
          <t>n_event_count: P_ACTIVE_FLAG='I'→n_insert_count / 'D'→n_del_count → EVENT 반환</t>
        </is>
      </c>
      <c r="E81" s="10" t="inlineStr">
        <is>
          <t>저장 결과 건수를 신규는 insert 수, 삭제는 delete 수로 집계해 반환.</t>
        </is>
      </c>
      <c r="F81" s="9" t="inlineStr">
        <is>
          <t>O_RESULT_CURSOR</t>
        </is>
      </c>
      <c r="G81" s="9" t="inlineStr"/>
      <c r="H81" s="9" t="inlineStr">
        <is>
          <t>1236-1243</t>
        </is>
      </c>
      <c r="I81" s="9" t="inlineStr">
        <is>
          <t>저장완료+무변경(0건)이면 PROC_M/배선 의심.</t>
        </is>
      </c>
    </row>
    <row r="82" ht="30" customHeight="1">
      <c r="A82" s="9" t="n">
        <v>63</v>
      </c>
      <c r="B82" s="9" t="inlineStr">
        <is>
          <t>DATAEX</t>
        </is>
      </c>
      <c r="C82" s="9" t="inlineStr">
        <is>
          <t>NVL·기본값</t>
        </is>
      </c>
      <c r="D82" s="9" t="inlineStr">
        <is>
          <t>CELL_PROD_SITE_ID: 계획=NVL(A.CELL_PROD_SITE_ID,'-'), ETC/기타='-' 리터럴</t>
        </is>
      </c>
      <c r="E82" s="10" t="inlineStr">
        <is>
          <t>생산지 없으면 '-' 로 채워 PIVOT 키 분열 방지.</t>
        </is>
      </c>
      <c r="F82" s="9" t="inlineStr">
        <is>
          <t>GT_DMF0021_RAW_DATA.CELL_PROD_SITE_ID</t>
        </is>
      </c>
      <c r="G82" s="9" t="inlineStr"/>
      <c r="H82" s="9" t="inlineStr">
        <is>
          <t>481,516,840</t>
        </is>
      </c>
      <c r="I82" s="9" t="inlineStr">
        <is>
          <t>E20260331 NULL→'-'. placeholder 정규화(hook: plant_placeholder_pivot_split).</t>
        </is>
      </c>
    </row>
    <row r="83" ht="30" customHeight="1">
      <c r="A83" s="9" t="n">
        <v>64</v>
      </c>
      <c r="B83" s="9" t="inlineStr">
        <is>
          <t>DATAEX</t>
        </is>
      </c>
      <c r="C83" s="9" t="inlineStr">
        <is>
          <t>NVL·기본값</t>
        </is>
      </c>
      <c r="D83" s="9" t="inlineStr">
        <is>
          <t>CURRENCY MERGE default: WHEN MATCHED ... WHERE NVL(A.CURRENCY,'CHR#')='CHR#' (원본 ISNULL(CURRENCY,'')='')</t>
        </is>
      </c>
      <c r="E83" s="10" t="inlineStr">
        <is>
          <t>통화 비어있는 행만 Site-Item 통화로 채움(Oracle ''=NULL 대응 sentinel).</t>
        </is>
      </c>
      <c r="F83" s="9" t="inlineStr">
        <is>
          <t>SCM_MST_SITE_ITEM.CURRENCY</t>
        </is>
      </c>
      <c r="G83" s="9" t="inlineStr"/>
      <c r="H83" s="9" t="inlineStr">
        <is>
          <t>667-676</t>
        </is>
      </c>
      <c r="I83" s="9" t="inlineStr">
        <is>
          <t>ORA-38104(ON절 갱신컬럼) 회피 WHEN MATCHED WHERE.</t>
        </is>
      </c>
    </row>
    <row r="84" ht="30" customHeight="1">
      <c r="A84" s="9" t="n">
        <v>65</v>
      </c>
      <c r="B84" s="9" t="inlineStr">
        <is>
          <t>DATAEX</t>
        </is>
      </c>
      <c r="C84" s="9" t="inlineStr">
        <is>
          <t>NVL·기본값</t>
        </is>
      </c>
      <c r="D84" s="9" t="inlineStr">
        <is>
          <t>NOTATION = NVL(O.SEGMENT3,'DEFAULT'); NVL(I.GROUP_ID,' '); NVL(END_CUSTOMER,' '); NVL(ITEM_NAME/CLASS/TYPE/NICK,'')</t>
        </is>
      </c>
      <c r="E84" s="10" t="inlineStr">
        <is>
          <t>표시 컬럼 NULL을 공백/기본값으로 치환(GROUP BY/조인 안정화).</t>
        </is>
      </c>
      <c r="F84" s="9" t="inlineStr">
        <is>
          <t>다수 GTT 컬럼</t>
        </is>
      </c>
      <c r="G84" s="9" t="inlineStr"/>
      <c r="H84" s="9" t="inlineStr">
        <is>
          <t>1504-1571</t>
        </is>
      </c>
      <c r="I84" s="9" t="inlineStr">
        <is>
          <t>COLUMN_SETUP 다수. RAW_DATA.TEXT CLOB→VARCHAR2(4000) 마이그레이션.</t>
        </is>
      </c>
    </row>
    <row r="85" ht="30" customHeight="1">
      <c r="A85" s="9" t="n">
        <v>66</v>
      </c>
      <c r="B85" s="9" t="inlineStr">
        <is>
          <t>DATAEX</t>
        </is>
      </c>
      <c r="C85" s="9" t="inlineStr">
        <is>
          <t>NVL·기본값</t>
        </is>
      </c>
      <c r="D85" s="9" t="inlineStr">
        <is>
          <t>FROM_SITE_ID = CASE WHEN NVL(CELL_PROD_SITE_ID,'-')='-' THEN 'N/A' ELSE CELL_PROD_SITE_ID END</t>
        </is>
      </c>
      <c r="E85" s="10" t="inlineStr">
        <is>
          <t>생산지가 '-'면 화면에 'N/A' 로 표기.</t>
        </is>
      </c>
      <c r="F85" s="9" t="inlineStr">
        <is>
          <t>GT_DMF0021_RAW_DATA.CELL_PROD_SITE_ID</t>
        </is>
      </c>
      <c r="G85" s="9" t="inlineStr"/>
      <c r="H85" s="9" t="inlineStr">
        <is>
          <t>1575</t>
        </is>
      </c>
      <c r="I85" s="9" t="inlineStr">
        <is>
          <t>E20260512-000502 자동차 From Site ID 컬럼.</t>
        </is>
      </c>
    </row>
    <row r="86" ht="30" customHeight="1">
      <c r="A86" s="9" t="n">
        <v>67</v>
      </c>
      <c r="B86" s="9" t="inlineStr">
        <is>
          <t>DATAEX</t>
        </is>
      </c>
      <c r="C86" s="9" t="inlineStr">
        <is>
          <t>NVL·기본값</t>
        </is>
      </c>
      <c r="D86" s="9" t="inlineStr">
        <is>
          <t>숫자 가드: MIN_CAPACITY/CELL_QUANTITY/CELL_PACK_COUNT/ENERGE = REGEXP_LIKE 숫자 THEN TO_NUMBER ELSE NULL</t>
        </is>
      </c>
      <c r="E86" s="10" t="inlineStr">
        <is>
          <t>문자로 저장된 마스터 수치값을 숫자변환 전 정규식 검증(비숫자→NULL).</t>
        </is>
      </c>
      <c r="F86" s="9" t="inlineStr">
        <is>
          <t>SCM_MST_ITEM_SN</t>
        </is>
      </c>
      <c r="G86" s="9" t="inlineStr"/>
      <c r="H86" s="9" t="inlineStr">
        <is>
          <t>696-702,764,770</t>
        </is>
      </c>
      <c r="I86" s="9" t="inlineStr">
        <is>
          <t>GTT NUMBER 컬럼 ORA-01722 방지 마이그레이션.</t>
        </is>
      </c>
    </row>
    <row r="87" ht="30" customHeight="1">
      <c r="A87" s="9" t="n">
        <v>68</v>
      </c>
      <c r="B87" s="9" t="inlineStr">
        <is>
          <t>DATAEX</t>
        </is>
      </c>
      <c r="C87" s="9" t="inlineStr">
        <is>
          <t>NVL·기본값</t>
        </is>
      </c>
      <c r="D87" s="9" t="inlineStr">
        <is>
          <t>ENERGE(KWh) = ROUND(TO_NUMBER(A.ENERGE)/1000,7); RTF_ENERGY/MKT_FCST_ENERGY = (QTY*ENERGE)/1000</t>
        </is>
      </c>
      <c r="E87" s="10" t="inlineStr">
        <is>
          <t>Wh→KWh 환산(÷1000) 및 에너지 메저 계산.</t>
        </is>
      </c>
      <c r="F87" s="9" t="inlineStr">
        <is>
          <t>ITEM_SINGLE_V.ENERGE</t>
        </is>
      </c>
      <c r="G87" s="9" t="inlineStr"/>
      <c r="H87" s="9" t="inlineStr">
        <is>
          <t>770-771,1227,1230,1265</t>
        </is>
      </c>
      <c r="I87" s="9" t="inlineStr">
        <is>
          <t>E20240731-000856 Wh→KWh. ENERGE_WH(원본)/ENERGE(KWh) 병행.</t>
        </is>
      </c>
    </row>
    <row r="88" ht="30" customHeight="1">
      <c r="A88" s="9" t="n">
        <v>69</v>
      </c>
      <c r="B88" s="9" t="inlineStr">
        <is>
          <t>DATAEX</t>
        </is>
      </c>
      <c r="C88" s="9" t="inlineStr">
        <is>
          <t>NVL·기본값</t>
        </is>
      </c>
      <c r="D88" s="9" t="inlineStr">
        <is>
          <t>기본메저 자동주입: v_user_mea_cnt=0 이면 SCM_MST_SHEET_MEASURE(DEFAULT_FLAG='Y') → SCM_MST_TITLESET_USER INSERT</t>
        </is>
      </c>
      <c r="E88" s="10" t="inlineStr">
        <is>
          <t>사용자 선택 메저가 없으면 기본 메저셋을 자동 등록.</t>
        </is>
      </c>
      <c r="F88" s="9" t="inlineStr">
        <is>
          <t>SCM_MST_TITLESET_USER, SCM_MST_SHEET_MEASURE</t>
        </is>
      </c>
      <c r="G88" s="9" t="inlineStr"/>
      <c r="H88" s="9" t="inlineStr">
        <is>
          <t>332-364</t>
        </is>
      </c>
      <c r="I88" s="9" t="inlineStr">
        <is>
          <t>20200316 C20200224. 조회 SP가 마스터 INSERT(부수효과).</t>
        </is>
      </c>
    </row>
    <row r="89" ht="45" customHeight="1">
      <c r="A89" s="9" t="n">
        <v>70</v>
      </c>
      <c r="B89" s="9" t="inlineStr">
        <is>
          <t>DATAEX</t>
        </is>
      </c>
      <c r="C89" s="9" t="inlineStr">
        <is>
          <t>NVL·기본값</t>
        </is>
      </c>
      <c r="D89" s="9" t="inlineStr">
        <is>
          <t>보조메저 자동추가: LOC/KRW 있으면 RTF_SYS_RP+SalesAmt_KRW/LOC / MKT_FCST_RP→MKT_FCST+RTF_SYS_RP / RTF_PR/RTF_BALANCE/SCM_FCST→RTF_SYS_RP (SYSTEM_ADD='Y', 후 삭제)</t>
        </is>
      </c>
      <c r="E89" s="10" t="inlineStr">
        <is>
          <t>단가·파생 계산에 필요한 내부 메저를 자동 추가했다가 최종 결과에서 제거.</t>
        </is>
      </c>
      <c r="F89" s="9" t="inlineStr">
        <is>
          <t>GT_DMF0021_SELECT_MEASURE</t>
        </is>
      </c>
      <c r="G89" s="9" t="inlineStr"/>
      <c r="H89" s="9" t="inlineStr">
        <is>
          <t>405-465,1194-1196</t>
        </is>
      </c>
      <c r="I89" s="9" t="inlineStr">
        <is>
          <t>SYSTEM_ADD='Y' 임시메저. 계산 후 DELETE(L1194).</t>
        </is>
      </c>
    </row>
    <row r="90" ht="30" customHeight="1">
      <c r="A90" s="9" t="n">
        <v>71</v>
      </c>
      <c r="B90" s="9" t="inlineStr">
        <is>
          <t>SAVE</t>
        </is>
      </c>
      <c r="C90" s="9" t="inlineStr">
        <is>
          <t>NVL·기본값</t>
        </is>
      </c>
      <c r="D90" s="9" t="inlineStr">
        <is>
          <t>판가/환율 곱 NVL(...,0): 판가·환율 부재 시 파생 금액 0</t>
        </is>
      </c>
      <c r="E90" s="10" t="inlineStr">
        <is>
          <t>환율/판가 없으면 파생 금액을 0으로(예외 대신 0값 저장).</t>
        </is>
      </c>
      <c r="F90" s="9" t="inlineStr">
        <is>
          <t>DM_MST_EXCHANGE_RATE, DM_PLN_CFM_SELLING_PRICE, SCM_MST_FUTURE_PRICE</t>
        </is>
      </c>
      <c r="G90" s="9" t="inlineStr"/>
      <c r="H90" s="9" t="inlineStr">
        <is>
          <t>747-983</t>
        </is>
      </c>
      <c r="I90" s="9" t="inlineStr">
        <is>
          <t>다수 파생 INSERT 공통. ROWNUM=1 단일값.</t>
        </is>
      </c>
    </row>
    <row r="91" ht="30" customHeight="1">
      <c r="A91" s="9" t="n">
        <v>72</v>
      </c>
      <c r="B91" s="9" t="inlineStr">
        <is>
          <t>DATAEX</t>
        </is>
      </c>
      <c r="C91" s="9" t="inlineStr">
        <is>
          <t>PK·중복</t>
        </is>
      </c>
      <c r="D91" s="9" t="inlineStr">
        <is>
          <t>MERGE GT_DMF0021_RAW_DATA USING SCM_MST_SITE_ITEM ON (division,project,site,item) — CURRENCY 갱신</t>
        </is>
      </c>
      <c r="E91" s="10" t="inlineStr">
        <is>
          <t>원시데이터 통화를 Site-Item 통화로 병합(ORA-01779 방지 MERGE).</t>
        </is>
      </c>
      <c r="F91" s="9" t="inlineStr">
        <is>
          <t>SCM_MST_SITE_ITEM</t>
        </is>
      </c>
      <c r="G91" s="9" t="inlineStr"/>
      <c r="H91" s="9" t="inlineStr">
        <is>
          <t>667-676</t>
        </is>
      </c>
      <c r="I91" s="9" t="inlineStr">
        <is>
          <t>원본 UPDATE...FROM→MERGE.</t>
        </is>
      </c>
    </row>
    <row r="92" ht="30" customHeight="1">
      <c r="A92" s="9" t="n">
        <v>73</v>
      </c>
      <c r="B92" s="9" t="inlineStr">
        <is>
          <t>DATAEX</t>
        </is>
      </c>
      <c r="C92" s="9" t="inlineStr">
        <is>
          <t>PK·중복</t>
        </is>
      </c>
      <c r="D92" s="9" t="inlineStr">
        <is>
          <t>MERGE GT_DMF0021_RAW_DATA USING DM_PLN_SALES_ETC_PLAN(40,ETC) ON (9키+NVL(TEXT,'#')+CELL_PROD) — ATTRIBUTE1(dept) 갱신</t>
        </is>
      </c>
      <c r="E92" s="10" t="inlineStr">
        <is>
          <t>40 기타매출의 화면입력 부서(ATTRIBUTE1)를 원시데이터에 병합.</t>
        </is>
      </c>
      <c r="F92" s="9" t="inlineStr">
        <is>
          <t>DM_PLN_SALES_ETC_PLAN</t>
        </is>
      </c>
      <c r="G92" s="9" t="inlineStr"/>
      <c r="H92" s="9" t="inlineStr">
        <is>
          <t>837-857</t>
        </is>
      </c>
      <c r="I92" s="9" t="inlineStr">
        <is>
          <t>PJ2024-50611. NVL(TEXT,'#') NULL 매칭 보존.</t>
        </is>
      </c>
    </row>
    <row r="93" ht="30" customHeight="1">
      <c r="A93" s="9" t="n">
        <v>74</v>
      </c>
      <c r="B93" s="9" t="inlineStr">
        <is>
          <t>DATAEX</t>
        </is>
      </c>
      <c r="C93" s="9" t="inlineStr">
        <is>
          <t>PK·중복</t>
        </is>
      </c>
      <c r="D93" s="9" t="inlineStr">
        <is>
          <t>RANK() OVER(PARTITION BY SEGMENT2 ORDER BY DISPLAY_SEQ DESC) MODEL_RANK='1' (DM_BIZ_TYPE_40 dedup)</t>
        </is>
      </c>
      <c r="E93" s="10" t="inlineStr">
        <is>
          <t>40 BizType 룩업 모델별 최신 1건만 채택.</t>
        </is>
      </c>
      <c r="F93" s="9" t="inlineStr">
        <is>
          <t>SCM_ADM_LOOKUP_MASTER_DETAIL</t>
        </is>
      </c>
      <c r="G93" s="9" t="inlineStr"/>
      <c r="H93" s="9" t="inlineStr">
        <is>
          <t>784-787</t>
        </is>
      </c>
      <c r="I93" s="9">
        <f> C-L08 dedup.</f>
        <v/>
      </c>
    </row>
    <row r="94" ht="30" customHeight="1">
      <c r="A94" s="9" t="n">
        <v>75</v>
      </c>
      <c r="B94" s="9" t="inlineStr">
        <is>
          <t>DATAEX</t>
        </is>
      </c>
      <c r="C94" s="9" t="inlineStr">
        <is>
          <t>PK·중복</t>
        </is>
      </c>
      <c r="D94" s="9" t="inlineStr">
        <is>
          <t>SHIPMENT_SITE: ROW_NUMBER PARTITION → PIVOT(MAX FOR ROW_NUM IN(1..5)) 콤마 결합(중복 생산지)</t>
        </is>
      </c>
      <c r="E94" s="10" t="inlineStr">
        <is>
          <t>여러 생산지를 콤마로 합쳐 한 셀에 표시(최대 5개).</t>
        </is>
      </c>
      <c r="F94" s="9" t="inlineStr">
        <is>
          <t>GT_DMF0021_SHIPMENT_SITE_ROW</t>
        </is>
      </c>
      <c r="G94" s="9" t="inlineStr"/>
      <c r="H94" s="9" t="inlineStr">
        <is>
          <t>1478-1488</t>
        </is>
      </c>
      <c r="I94" s="9" t="inlineStr">
        <is>
          <t>C20201202-000394 중복 콤마 처리.</t>
        </is>
      </c>
    </row>
    <row r="95" ht="30" customHeight="1">
      <c r="A95" s="9" t="n">
        <v>76</v>
      </c>
      <c r="B95" s="9" t="inlineStr">
        <is>
          <t>DATAEX</t>
        </is>
      </c>
      <c r="C95" s="9" t="inlineStr">
        <is>
          <t>PK·중복</t>
        </is>
      </c>
      <c r="D95" s="9" t="inlineStr">
        <is>
          <t>ITEM_SINGLE_A: GROUP BY division,item_id, ITEM_TYPE = MIN(P=1,H=2,Q=3,else4) 우선순위 결정</t>
        </is>
      </c>
      <c r="E95" s="10" t="inlineStr">
        <is>
          <t>동일 모델의 아이템타입을 P&gt;H&gt;Q&gt;R 우선순위로 대표값 결정.</t>
        </is>
      </c>
      <c r="F95" s="9" t="inlineStr">
        <is>
          <t>GT_DMF0021_DM_MST_ITEM_SINGLE_A</t>
        </is>
      </c>
      <c r="G95" s="9" t="inlineStr"/>
      <c r="H95" s="9" t="inlineStr">
        <is>
          <t>708-736</t>
        </is>
      </c>
      <c r="I95" s="9" t="inlineStr">
        <is>
          <t>MDM 다건→단일 정규화.</t>
        </is>
      </c>
    </row>
    <row r="96" ht="30" customHeight="1">
      <c r="A96" s="9" t="n">
        <v>77</v>
      </c>
      <c r="B96" s="9" t="inlineStr">
        <is>
          <t>DATAEX</t>
        </is>
      </c>
      <c r="C96" s="9" t="inlineStr">
        <is>
          <t>PK·중복</t>
        </is>
      </c>
      <c r="D96" s="9" t="inlineStr">
        <is>
          <t>COLUMN_STRING GROUP BY 파생: ' AS ' 앞부분만 추출하여 v_SQL_GROUPBY 구성 (동적 집계 정합)</t>
        </is>
      </c>
      <c r="E96" s="10" t="inlineStr">
        <is>
          <t>선택 컬럼식에서 별칭 제거한 원식을 GROUP BY 에 정확히 반영(집계 오류 방지).</t>
        </is>
      </c>
      <c r="F96" s="9" t="inlineStr">
        <is>
          <t>GT_DMF0021_T</t>
        </is>
      </c>
      <c r="G96" s="9" t="inlineStr"/>
      <c r="H96" s="9" t="inlineStr">
        <is>
          <t>1586-1602</t>
        </is>
      </c>
      <c r="I96" s="9" t="inlineStr">
        <is>
          <t>SELECT/GROUP BY 컬럼 정합 — 불일치 시 ORA-00979.</t>
        </is>
      </c>
    </row>
    <row r="97" ht="30" customHeight="1">
      <c r="A97" s="9" t="n">
        <v>78</v>
      </c>
      <c r="B97" s="9" t="inlineStr">
        <is>
          <t>SAVE</t>
        </is>
      </c>
      <c r="C97" s="9" t="inlineStr">
        <is>
          <t>PK·중복</t>
        </is>
      </c>
      <c r="D97" s="9" t="inlineStr">
        <is>
          <t>MERGE GT_F021_SALES_PLAN USING DM_PLN_SALES_PLAN(RTF_SYS_RP, YYYYMMDD&gt;=cutoff_start, ATTRIBUTE2 NOT NULL) — V_FROM_SITE_ID(MAX(ATTRIBUTE2)) 갱신</t>
        </is>
      </c>
      <c r="E97" s="10" t="inlineStr">
        <is>
          <t>저장 데이터의 From Site ID를 기존 RTF 데이터의 ATTRIBUTE2에서 병합.</t>
        </is>
      </c>
      <c r="F97" s="9" t="inlineStr">
        <is>
          <t>DM_PLN_SALES_PLAN.ATTRIBUTE2</t>
        </is>
      </c>
      <c r="G97" s="9" t="inlineStr"/>
      <c r="H97" s="9" t="inlineStr">
        <is>
          <t>235-259</t>
        </is>
      </c>
      <c r="I97" s="9" t="inlineStr">
        <is>
          <t>PJ2025-50188 FROM_SITE_ID.</t>
        </is>
      </c>
    </row>
    <row r="98" ht="30" customHeight="1">
      <c r="A98" s="9" t="n">
        <v>79</v>
      </c>
      <c r="B98" s="9" t="inlineStr">
        <is>
          <t>SAVE</t>
        </is>
      </c>
      <c r="C98" s="9" t="inlineStr">
        <is>
          <t>PK·중복</t>
        </is>
      </c>
      <c r="D98" s="9" t="inlineStr">
        <is>
          <t>CFM_MKT_DEMAND_PLAN / MKT_FCST / _C(MF_W,SF_W) : DELETE(키+월6자리 EXISTS) 후 INSERT (upsert)</t>
        </is>
      </c>
      <c r="E98" s="10" t="inlineStr">
        <is>
          <t>확정수요/시장예측/버전 테이블을 삭제 후 재삽입으로 동기화.</t>
        </is>
      </c>
      <c r="F98" s="9" t="inlineStr">
        <is>
          <t>DM_PLN_CFM_MKT_DEMAND_PLAN(_C), DM_PLN_MKT_FCST(_C)</t>
        </is>
      </c>
      <c r="G98" s="9" t="inlineStr"/>
      <c r="H98" s="9" t="inlineStr">
        <is>
          <t>1039-1224</t>
        </is>
      </c>
      <c r="I98" s="9" t="inlineStr">
        <is>
          <t>PJ2025-50017 동기화. RTF_SYS_RP/RTF/RTF_SCP/SalesAmt 계열만.</t>
        </is>
      </c>
    </row>
    <row r="99" ht="18" customHeight="1">
      <c r="A99" s="9" t="n">
        <v>80</v>
      </c>
      <c r="B99" s="9" t="inlineStr">
        <is>
          <t>SAVE</t>
        </is>
      </c>
      <c r="C99" s="9" t="inlineStr">
        <is>
          <t>PK·중복</t>
        </is>
      </c>
      <c r="D99" s="9" t="inlineStr">
        <is>
          <t>DM_PLN_MKT_FCST INSERT: GROUP BY 키 SUM(QTY),MAX(updated) (월예측 집계)</t>
        </is>
      </c>
      <c r="E99" s="10" t="inlineStr">
        <is>
          <t>시장예측 테이블은 일자별 합계로 집계 저장.</t>
        </is>
      </c>
      <c r="F99" s="9" t="inlineStr">
        <is>
          <t>DM_PLN_SALES_PLAN</t>
        </is>
      </c>
      <c r="G99" s="9" t="inlineStr"/>
      <c r="H99" s="9" t="inlineStr">
        <is>
          <t>1108-1130</t>
        </is>
      </c>
      <c r="I99" s="9" t="inlineStr">
        <is>
          <t>SUM(QTY) 집계 upsert.</t>
        </is>
      </c>
    </row>
    <row r="100" ht="30" customHeight="1">
      <c r="A100" s="9" t="n">
        <v>81</v>
      </c>
      <c r="B100" s="9" t="inlineStr">
        <is>
          <t>SAVE</t>
        </is>
      </c>
      <c r="C100" s="9" t="inlineStr">
        <is>
          <t>Bulk('^')</t>
        </is>
      </c>
      <c r="D100" s="9" t="inlineStr">
        <is>
          <t>v_max_cnt = REGEXP_COUNT(P_DIVISION_ID,'\^')+1, FOR i IN 1..v_max_cnt (행별 루프)</t>
        </is>
      </c>
      <c r="E100" s="10" t="inlineStr">
        <is>
          <t>화면이 '^'로 이어붙인 여러 행을 개수만큼 반복 처리.</t>
        </is>
      </c>
      <c r="F100" s="9" t="inlineStr">
        <is>
          <t>18개 P_* 파라미터</t>
        </is>
      </c>
      <c r="G100" s="9" t="inlineStr"/>
      <c r="H100" s="9" t="inlineStr">
        <is>
          <t>154-156</t>
        </is>
      </c>
      <c r="I100" s="9" t="inlineStr">
        <is>
          <t>'^' 구분 bulk. WHILE 내부 날짜변환으로 단순 REGEXP INSERT 불가→행루프.</t>
        </is>
      </c>
    </row>
    <row r="101" ht="30" customHeight="1">
      <c r="A101" s="9" t="n">
        <v>82</v>
      </c>
      <c r="B101" s="9" t="inlineStr">
        <is>
          <t>SAVE</t>
        </is>
      </c>
      <c r="C101" s="9" t="inlineStr">
        <is>
          <t>Bulk('^')</t>
        </is>
      </c>
      <c r="D101" s="9" t="inlineStr">
        <is>
          <t>18개 파라미터 각각 TRIM(REGEXP_SUBSTR(Pxxx,'[^\^]+',1,i)), P_QTY=TO_NUMBER(...)</t>
        </is>
      </c>
      <c r="E101" s="10" t="inlineStr">
        <is>
          <t>18개 컬럼값을 '^' 기준 i번째 토큰으로 분해(수량은 숫자변환).</t>
        </is>
      </c>
      <c r="F101" s="9" t="inlineStr">
        <is>
          <t>P_ACTIVE_FLAG..P_CELL_PROD_SITE_ID</t>
        </is>
      </c>
      <c r="G101" s="9" t="inlineStr"/>
      <c r="H101" s="9" t="inlineStr">
        <is>
          <t>158-175</t>
        </is>
      </c>
      <c r="I101" s="9" t="inlineStr">
        <is>
          <t>param 18 = grep 18 정합. 토큰 정렬 필수(멀티셀렉트 '^'vs',' 주의).</t>
        </is>
      </c>
    </row>
    <row r="102" ht="30" customHeight="1">
      <c r="A102" s="9" t="n">
        <v>83</v>
      </c>
      <c r="B102" s="9" t="inlineStr">
        <is>
          <t>DATAEX</t>
        </is>
      </c>
      <c r="C102" s="9" t="inlineStr">
        <is>
          <t>커서(OUT)</t>
        </is>
      </c>
      <c r="D102" s="9" t="inlineStr">
        <is>
          <t>OUT 3커서: p_cur_result(동적 PIVOT 메인그리드), p_cur_calendar(당주/전주), p_cur_edit_auth(편집권한)</t>
        </is>
      </c>
      <c r="E102" s="10" t="inlineStr">
        <is>
          <t>조회는 그리드+달력+편집권한 3개 결과셋을 반환.</t>
        </is>
      </c>
      <c r="F102" s="9" t="inlineStr"/>
      <c r="G102" s="9" t="inlineStr"/>
      <c r="H102" s="9" t="inlineStr">
        <is>
          <t>21-23,1705,1711,1732</t>
        </is>
      </c>
      <c r="I102" s="9" t="inlineStr">
        <is>
          <t>OPEN p_cur_result FOR v_sql_text(동적SQL). GTT 참조로 커서 종료 전 DELETE 금지.</t>
        </is>
      </c>
    </row>
    <row r="103" ht="18" customHeight="1">
      <c r="A103" s="9" t="n">
        <v>84</v>
      </c>
      <c r="B103" s="9" t="inlineStr">
        <is>
          <t>MEASUREINFO</t>
        </is>
      </c>
      <c r="C103" s="9" t="inlineStr">
        <is>
          <t>커서(OUT)</t>
        </is>
      </c>
      <c r="D103" s="9" t="inlineStr">
        <is>
          <t>OUT O_RC1(메저목록) + O_RESULT_CURSOR('0'/'SUCCESS'/NULL) — param 없음</t>
        </is>
      </c>
      <c r="E103" s="10" t="inlineStr">
        <is>
          <t>메저 선택목록 커서 반환.</t>
        </is>
      </c>
      <c r="F103" s="9" t="inlineStr">
        <is>
          <t>SCM_ADM_LOOKUP_MASTER_DETAIL</t>
        </is>
      </c>
      <c r="G103" s="9" t="inlineStr"/>
      <c r="H103" s="9" t="inlineStr">
        <is>
          <t>3-4,33,52</t>
        </is>
      </c>
      <c r="I103" s="9" t="inlineStr"/>
    </row>
    <row r="104" ht="30" customHeight="1">
      <c r="A104" s="9" t="n">
        <v>85</v>
      </c>
      <c r="B104" s="9" t="inlineStr">
        <is>
          <t>MEASUREINFO2</t>
        </is>
      </c>
      <c r="C104" s="9" t="inlineStr">
        <is>
          <t>커서(OUT)</t>
        </is>
      </c>
      <c r="D104" s="9" t="inlineStr">
        <is>
          <t>OUT O_RC1(SalesAmt% 메저+EDIT_YN) + O_RESULT_CURSOR('0'/'SUCCESS'/NULL) — param P_USER_ID,P_MNU_ID</t>
        </is>
      </c>
      <c r="E104" s="10" t="inlineStr">
        <is>
          <t>SalesAmt 메저 목록+편집권한 커서 반환.</t>
        </is>
      </c>
      <c r="F104" s="9" t="inlineStr">
        <is>
          <t>SCM_MST_SHEET_MEASURE, SCM_ADM_USER_MNU_EDIT_AUTH_V</t>
        </is>
      </c>
      <c r="G104" s="9" t="inlineStr"/>
      <c r="H104" s="9" t="inlineStr">
        <is>
          <t>6-7,34,58</t>
        </is>
      </c>
      <c r="I104" s="9" t="inlineStr">
        <is>
          <t>★INNER(PKG)/LEFT(standalone) divergence — C-E03.</t>
        </is>
      </c>
    </row>
    <row r="105" ht="30" customHeight="1">
      <c r="A105" s="9" t="n">
        <v>86</v>
      </c>
      <c r="B105" s="9" t="inlineStr">
        <is>
          <t>SAVE</t>
        </is>
      </c>
      <c r="C105" s="9" t="inlineStr">
        <is>
          <t>커서(OUT)</t>
        </is>
      </c>
      <c r="D105" s="9" t="inlineStr">
        <is>
          <t>OUT O_RESULT_CURSOR: 성공 '0'/'SUCCESS'/EVENT(건수) | 검증실패 '-1'/'ERR_RTN'/MSG^상세</t>
        </is>
      </c>
      <c r="E105" s="10" t="inlineStr">
        <is>
          <t>저장 결과를 단일 커서로 반환(성공/실패 코드 분기).</t>
        </is>
      </c>
      <c r="F105" s="9" t="inlineStr"/>
      <c r="G105" s="9" t="inlineStr"/>
      <c r="H105" s="9" t="inlineStr">
        <is>
          <t>1242-1265</t>
        </is>
      </c>
      <c r="I105" s="9" t="inlineStr">
        <is>
          <t>FE CODE!='0' 시 alert(MSG^상세).</t>
        </is>
      </c>
    </row>
    <row r="106" ht="30" customHeight="1">
      <c r="A106" s="9" t="n">
        <v>87</v>
      </c>
      <c r="B106" s="9" t="inlineStr">
        <is>
          <t>SAVE</t>
        </is>
      </c>
      <c r="C106" s="9" t="inlineStr">
        <is>
          <t>커서(OUT)</t>
        </is>
      </c>
      <c r="D106" s="9" t="inlineStr">
        <is>
          <t>T_FCST_TYPE T_STR_TAB BULK COLLECT INTO (판가검증 예외 FcstType 배열)</t>
        </is>
      </c>
      <c r="E106" s="10" t="inlineStr">
        <is>
          <t>판가검증 예외 목록을 컬렉션으로 로드해 NOT IN 검증에 사용.</t>
        </is>
      </c>
      <c r="F106" s="9" t="inlineStr">
        <is>
          <t>SCM_ADM_LOOKUP_MASTER_DETAIL, TABLE(T_FCST_TYPE)</t>
        </is>
      </c>
      <c r="G106" s="9" t="inlineStr"/>
      <c r="H106" s="9" t="inlineStr">
        <is>
          <t>85,415-420,428</t>
        </is>
      </c>
      <c r="I106" s="9" t="inlineStr">
        <is>
          <t>T_STR_TAB 사용자정의 컬렉션 타입 의존.</t>
        </is>
      </c>
    </row>
    <row r="107" ht="30" customHeight="1">
      <c r="A107" s="9" t="n">
        <v>88</v>
      </c>
      <c r="B107" s="9" t="inlineStr">
        <is>
          <t>SPREAD_TITLE</t>
        </is>
      </c>
      <c r="C107" s="9" t="inlineStr">
        <is>
          <t>커서(OUT)</t>
        </is>
      </c>
      <c r="D107" s="9" t="inlineStr">
        <is>
          <t>OUT O_RC1(헤더컬럼: 일반+D_/W_/M_ 날짜) + O_RESULT_CURSOR('0'/'SUCCESS'/NULL)</t>
        </is>
      </c>
      <c r="E107" s="10" t="inlineStr">
        <is>
          <t>스프레드 헤더용 컬럼정의(일반+날짜)를 첫 커서로 반환.</t>
        </is>
      </c>
      <c r="F107" s="9" t="inlineStr">
        <is>
          <t>SCM_MST_SHEET_COLUMNS, SCM_MST_TITLESET_USER, SCM_SYS_CALENDAR_M</t>
        </is>
      </c>
      <c r="G107" s="9" t="inlineStr"/>
      <c r="H107" s="9" t="inlineStr">
        <is>
          <t>8-9,72,364</t>
        </is>
      </c>
      <c r="I107" s="9" t="inlineStr">
        <is>
          <t>user col 유무로 UNION 분기(사용자정의/기본).</t>
        </is>
      </c>
    </row>
    <row r="108" ht="30" customHeight="1">
      <c r="A108" s="9" t="n">
        <v>89</v>
      </c>
      <c r="B108" s="9" t="inlineStr">
        <is>
          <t>DATAEX</t>
        </is>
      </c>
      <c r="C108" s="9" t="inlineStr">
        <is>
          <t>정렬</t>
        </is>
      </c>
      <c r="D108" s="9" t="inlineStr">
        <is>
          <t>v_OrderList: 사용자 DATA_SORT_METHOD_CODE 순 + [VERSION_SORT] DESC + [SORT_ORDER_NO],[MEASURE]</t>
        </is>
      </c>
      <c r="E108" s="10" t="inlineStr">
        <is>
          <t>그리드 정렬을 사용자 컬럼정렬 + 버전(최신 우선) + 메저순으로 구성.</t>
        </is>
      </c>
      <c r="F108" s="9" t="inlineStr">
        <is>
          <t>SCM_MST_TITLESET_USER.DATA_SORT_METHOD_CODE, SCM_MST_SHEET_COLUMNS</t>
        </is>
      </c>
      <c r="G108" s="9" t="inlineStr"/>
      <c r="H108" s="9" t="inlineStr">
        <is>
          <t>1355-1430,1700</t>
        </is>
      </c>
      <c r="I108" s="9" t="inlineStr">
        <is>
          <t>동적 ORDER BY. 대괄호 제거 후 임베드.</t>
        </is>
      </c>
    </row>
    <row r="109" ht="30" customHeight="1">
      <c r="A109" s="9" t="n">
        <v>90</v>
      </c>
      <c r="B109" s="9" t="inlineStr">
        <is>
          <t>DATAEX</t>
        </is>
      </c>
      <c r="C109" s="9" t="inlineStr">
        <is>
          <t>정렬</t>
        </is>
      </c>
      <c r="D109" s="9" t="inlineStr">
        <is>
          <t>VERSION_SORT = CASE WHEN VERSION_NO='CURRENT' THEN 'ZZZZZZZZZZZZZZZ' ELSE VERSION_NO END</t>
        </is>
      </c>
      <c r="E109" s="10" t="inlineStr">
        <is>
          <t>현재(CURRENT) 버전을 항상 맨 위로 정렬(Z 채움).</t>
        </is>
      </c>
      <c r="F109" s="9" t="inlineStr">
        <is>
          <t>GT_DMF0021_RAW_DATA.VERSION_NO</t>
        </is>
      </c>
      <c r="G109" s="9" t="inlineStr"/>
      <c r="H109" s="9" t="inlineStr">
        <is>
          <t>1516</t>
        </is>
      </c>
      <c r="I109" s="9" t="inlineStr">
        <is>
          <t>CURRENT 최상단 고정.</t>
        </is>
      </c>
    </row>
    <row r="110" ht="30" customHeight="1">
      <c r="A110" s="9" t="n">
        <v>91</v>
      </c>
      <c r="B110" s="9" t="inlineStr">
        <is>
          <t>DATAEX</t>
        </is>
      </c>
      <c r="C110" s="9" t="inlineStr">
        <is>
          <t>정렬</t>
        </is>
      </c>
      <c r="D110" s="9" t="inlineStr">
        <is>
          <t>GROUP_ID sort = NVL(SORT_ORDER_NO,85)-0.5 (ITEM 앞), SALES_PLAN_ADJUST_YN = NVL(SORT,400)+110 (메저 뒤)</t>
        </is>
      </c>
      <c r="E110" s="10" t="inlineStr">
        <is>
          <t>GROUP_ID 는 아이템 바로 앞, 수정여부(CatchUp) 컬럼은 메저 뒤로 정렬 위치 조정.</t>
        </is>
      </c>
      <c r="F110" s="9" t="inlineStr">
        <is>
          <t>SCM_MST_SHEET_COLUMNS.SORT_ORDER_NO</t>
        </is>
      </c>
      <c r="G110" s="9" t="inlineStr"/>
      <c r="H110" s="9" t="inlineStr">
        <is>
          <t>1387-1392</t>
        </is>
      </c>
      <c r="I110" s="9" t="inlineStr">
        <is>
          <t>2024/05/17 이동계획 GROUP 정렬 + PJ2024-50611 CatchUp.</t>
        </is>
      </c>
    </row>
    <row r="111" ht="30" customHeight="1">
      <c r="A111" s="9" t="n">
        <v>92</v>
      </c>
      <c r="B111" s="9" t="inlineStr">
        <is>
          <t>DATAEX</t>
        </is>
      </c>
      <c r="C111" s="9" t="inlineStr">
        <is>
          <t>정렬</t>
        </is>
      </c>
      <c r="D111" s="9" t="inlineStr">
        <is>
          <t>날짜컬럼 SORT_ORDER_NO 접미: D_=|_31, W_=|_21, M_=|_1 (같은날 일&lt;주&lt;월? 실제 일=31 최하위)</t>
        </is>
      </c>
      <c r="E111" s="10" t="inlineStr">
        <is>
          <t>일/주/월 컬럼 정렬 우선순위를 접미 숫자로 부여.</t>
        </is>
      </c>
      <c r="F111" s="9" t="inlineStr">
        <is>
          <t>SCM_SYS_CALENDAR_M</t>
        </is>
      </c>
      <c r="G111" s="9" t="inlineStr"/>
      <c r="H111" s="9" t="inlineStr">
        <is>
          <t>1293,1301,1309</t>
        </is>
      </c>
      <c r="I111" s="9" t="inlineStr">
        <is>
          <t>SPREAD_TITLE(31/21/01)와 동일 규약.</t>
        </is>
      </c>
    </row>
    <row r="112" ht="30" customHeight="1">
      <c r="A112" s="9" t="n">
        <v>93</v>
      </c>
      <c r="B112" s="9" t="inlineStr">
        <is>
          <t>DATAEX</t>
        </is>
      </c>
      <c r="C112" s="9" t="inlineStr">
        <is>
          <t>정렬</t>
        </is>
      </c>
      <c r="D112" s="9" t="inlineStr">
        <is>
          <t>컬럼정의 100개 제한: WHERE ROWNUM&lt;=100 (동적 ORDER BY 가능조건)</t>
        </is>
      </c>
      <c r="E112" s="10" t="inlineStr">
        <is>
          <t>동적 정렬을 위해 컬럼정의는 100개 이하로 제한.</t>
        </is>
      </c>
      <c r="F112" s="9" t="inlineStr">
        <is>
          <t>SCM_MST_SHEET_COLUMNS, SCM_MST_TITLESET_USER</t>
        </is>
      </c>
      <c r="G112" s="9" t="inlineStr"/>
      <c r="H112" s="9" t="inlineStr">
        <is>
          <t>1357,1375,1407</t>
        </is>
      </c>
      <c r="I112" s="9" t="inlineStr">
        <is>
          <t>★★ 주석 명시(100개 초과 시 ORDER BY 불가).</t>
        </is>
      </c>
    </row>
    <row r="113" ht="30" customHeight="1">
      <c r="A113" s="9" t="n">
        <v>94</v>
      </c>
      <c r="B113" s="9" t="inlineStr">
        <is>
          <t>MEASUREINFO</t>
        </is>
      </c>
      <c r="C113" s="9" t="inlineStr">
        <is>
          <t>정렬</t>
        </is>
      </c>
      <c r="D113" s="9" t="inlineStr">
        <is>
          <t>ORDER BY DISPLAY_SEQ</t>
        </is>
      </c>
      <c r="E113" s="10" t="inlineStr">
        <is>
          <t>메저 목록을 표시순으로 정렬.</t>
        </is>
      </c>
      <c r="F113" s="9" t="inlineStr">
        <is>
          <t>SCM_ADM_LOOKUP_MASTER_DETAIL.DISPLAY_SEQ</t>
        </is>
      </c>
      <c r="G113" s="9" t="inlineStr"/>
      <c r="H113" s="9" t="inlineStr">
        <is>
          <t>40</t>
        </is>
      </c>
      <c r="I113" s="9" t="inlineStr"/>
    </row>
    <row r="114" ht="18" customHeight="1">
      <c r="A114" s="9" t="n">
        <v>95</v>
      </c>
      <c r="B114" s="9" t="inlineStr">
        <is>
          <t>MEASUREINFO2</t>
        </is>
      </c>
      <c r="C114" s="9" t="inlineStr">
        <is>
          <t>정렬</t>
        </is>
      </c>
      <c r="D114" s="9" t="inlineStr">
        <is>
          <t>ORDER BY SORT_ORDER_NO</t>
        </is>
      </c>
      <c r="E114" s="10" t="inlineStr">
        <is>
          <t>SalesAmt 메저 목록을 정렬순으로.</t>
        </is>
      </c>
      <c r="F114" s="9" t="inlineStr">
        <is>
          <t>SCM_MST_SHEET_MEASURE.SORT_ORDER_NO</t>
        </is>
      </c>
      <c r="G114" s="9" t="inlineStr"/>
      <c r="H114" s="9" t="inlineStr">
        <is>
          <t>53</t>
        </is>
      </c>
      <c r="I114" s="9" t="inlineStr"/>
    </row>
    <row r="115" ht="30" customHeight="1">
      <c r="A115" s="9" t="n">
        <v>96</v>
      </c>
      <c r="B115" s="9" t="inlineStr">
        <is>
          <t>SPREAD_TITLE</t>
        </is>
      </c>
      <c r="C115" s="9" t="inlineStr">
        <is>
          <t>정렬</t>
        </is>
      </c>
      <c r="D115" s="9" t="inlineStr">
        <is>
          <t>ORDER BY SORT_ORDER_NO; D_=BASIS_YYYYMMDD||'31', W_=BASIS_START_DATE||'21', M_=MIN(BASIS_START_DATE)||'01'</t>
        </is>
      </c>
      <c r="E115" s="10" t="inlineStr">
        <is>
          <t>헤더 컬럼 정렬을 날짜+버킷 접미로 통일.</t>
        </is>
      </c>
      <c r="F115" s="9" t="inlineStr">
        <is>
          <t>SCM_SYS_CALENDAR_M</t>
        </is>
      </c>
      <c r="G115" s="9" t="inlineStr"/>
      <c r="H115" s="9" t="inlineStr">
        <is>
          <t>174,188,206,357</t>
        </is>
      </c>
      <c r="I115" s="9" t="inlineStr">
        <is>
          <t>TO_NUMBER(SORT_ORDER_NO) ORA-01790 방지.</t>
        </is>
      </c>
    </row>
    <row r="116">
      <c r="A116" s="11" t="inlineStr">
        <is>
          <t xml:space="preserve">⚠ SP 정본 격차: ["MEASUREINFO2: standalone = LEFT JOIN (2026.06.08 NextSCM 마이그레이션 버그수정 — DIVISION_ID NULL SalesAmt 메저 전탈락→항상 0행 반환 복원) vs PKG_DMF0021 body = INNER JOIN (구 버전 잔존). standalone이 TO-BE 정본.", "표준(standalone) SP는 GTT(GT_DMF0021_*)/NVL/LISTAGG/MERGE 로 마이그레이션 주석 완비된 TO-BE 소스. PKG_DMF0021 SAVE는 검증 MSG 9종 전부 </t>
        </is>
      </c>
    </row>
    <row r="117">
      <c r="A117" s="11" t="inlineStr">
        <is>
          <t>※ 원천: sp_*.sql ALL_SOURCE 전문. PKG_DMF0021(런타임)=standalone 검증 MSG 9종 동일(중복 아님). ⚠ MEASUREINFO2: standalone=LEFT JOIN(2026.06.08 버그수정 정본) vs PKG body=INNER JOIN(구버전 잔존).</t>
        </is>
      </c>
    </row>
  </sheetData>
  <mergeCells count="3">
    <mergeCell ref="A4:I4"/>
    <mergeCell ref="A3:I3"/>
    <mergeCell ref="A18:I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6" customWidth="1" min="5" max="5"/>
    <col width="14" customWidth="1" min="6" max="6"/>
    <col width="40" customWidth="1" min="7" max="7"/>
    <col width="10" customWidth="1" min="8" max="8"/>
  </cols>
  <sheetData>
    <row r="1" ht="21" customHeight="1">
      <c r="A1" s="1" t="inlineStr">
        <is>
          <t>9. 권한 · Division · 일자 · 편집 실측 — Lookup 전량</t>
        </is>
      </c>
    </row>
    <row r="2">
      <c r="A2" s="2" t="inlineStr">
        <is>
          <t>DMF0021 Sales Plan · UI 분석서 v1.0 · 2026-07-09 (hook #105 11시트)</t>
        </is>
      </c>
    </row>
    <row r="3" ht="28" customHeight="1">
      <c r="A3" s="3" t="inlineStr">
        <is>
          <t>📖 읽는 법 — 누가(권한) 어느 사업부 어떤 메저를 언제 편집하나. ⭐RTF_SYS_RP=SCP Planner·월/토16시 락·컷오프 전만 / SalesAmt_LOC=시간무관. GADM 53행 전량. DM_UI_EDITABLE 0행(구방식만=이원화).</t>
        </is>
      </c>
    </row>
    <row r="4" ht="20" customHeight="1">
      <c r="A4" s="4" t="inlineStr">
        <is>
          <t>A. 권한 — 버튼/그룹 매핑 실측 (⚠ 레거시 화면 = 미등록) + SP 편집권한 산출</t>
        </is>
      </c>
    </row>
    <row r="5">
      <c r="A5" s="8" t="inlineStr">
        <is>
          <t>구분</t>
        </is>
      </c>
      <c r="B5" s="8" t="inlineStr">
        <is>
          <t>실측</t>
        </is>
      </c>
      <c r="C5" s="8" t="inlineStr">
        <is>
          <t>설명</t>
        </is>
      </c>
      <c r="D5" s="8" t="inlineStr"/>
      <c r="E5" s="8" t="inlineStr"/>
      <c r="F5" s="8" t="inlineStr"/>
      <c r="G5" s="8" t="inlineStr"/>
      <c r="H5" s="8" t="inlineStr"/>
    </row>
    <row r="6" ht="75" customHeight="1">
      <c r="A6" s="9" t="inlineStr">
        <is>
          <t>MNU_BTN_MPG_M (DMF0021)</t>
        </is>
      </c>
      <c r="B6" s="9" t="inlineStr">
        <is>
          <t>0행</t>
        </is>
      </c>
      <c r="C6" s="9" t="inlineStr">
        <is>
          <t>⚠ 미등록 — 레거시 화면(MNU_URL=dmf0003). React 전환 시 SEARCH/SAVE 등록 필요</t>
        </is>
      </c>
      <c r="D6" s="9" t="inlineStr"/>
      <c r="E6" s="9" t="inlineStr"/>
      <c r="F6" s="9" t="inlineStr"/>
      <c r="G6" s="9" t="inlineStr"/>
      <c r="H6" s="9" t="inlineStr"/>
    </row>
    <row r="7" ht="60" customHeight="1">
      <c r="A7" s="9" t="inlineStr">
        <is>
          <t>USER_GR_MNU_BTN_MPG_M</t>
        </is>
      </c>
      <c r="B7" s="9" t="inlineStr">
        <is>
          <t>0행</t>
        </is>
      </c>
      <c r="C7" s="9" t="inlineStr">
        <is>
          <t>⚠ 미등록 — 그룹×버튼 권한 미배선</t>
        </is>
      </c>
      <c r="D7" s="9" t="inlineStr"/>
      <c r="E7" s="9" t="inlineStr"/>
      <c r="F7" s="9" t="inlineStr"/>
      <c r="G7" s="9" t="inlineStr"/>
      <c r="H7" s="9" t="inlineStr"/>
    </row>
    <row r="8">
      <c r="A8" s="8" t="inlineStr">
        <is>
          <t>메저</t>
        </is>
      </c>
      <c r="B8" s="8" t="inlineStr">
        <is>
          <t>SP 변수</t>
        </is>
      </c>
      <c r="C8" s="8" t="inlineStr">
        <is>
          <t>산출 근거 (소스라인)</t>
        </is>
      </c>
      <c r="D8" s="8" t="inlineStr"/>
      <c r="E8" s="8" t="inlineStr"/>
      <c r="F8" s="8" t="inlineStr"/>
      <c r="G8" s="8" t="inlineStr"/>
      <c r="H8" s="8" t="inlineStr"/>
    </row>
    <row r="9" ht="75" customHeight="1">
      <c r="A9" s="9" t="inlineStr">
        <is>
          <t>SalesAmt_LOC</t>
        </is>
      </c>
      <c r="B9" s="9" t="inlineStr">
        <is>
          <t>v_EDIT_AUTH_SalesAmt_LOC</t>
        </is>
      </c>
      <c r="C9" s="9" t="inlineStr">
        <is>
          <t>GET_DM_PLN_SALES_PLAN_DATAEX L260-273 / DATAEX L260-273: GAM SEGMENT4=SalesAmt_LOC COUNT&gt;0 =&gt; v_EDIT_AUTH_SalesAmt_LOC=Y</t>
        </is>
      </c>
      <c r="D9" s="9" t="inlineStr"/>
      <c r="E9" s="9" t="inlineStr"/>
      <c r="F9" s="9" t="inlineStr"/>
      <c r="G9" s="9" t="inlineStr"/>
      <c r="H9" s="9" t="inlineStr"/>
    </row>
    <row r="10" ht="75" customHeight="1">
      <c r="A10" s="9" t="inlineStr">
        <is>
          <t>RTF_SYS_RP</t>
        </is>
      </c>
      <c r="B10" s="9" t="inlineStr">
        <is>
          <t>v_EDIT_AUTH_RTF_SYS_RP</t>
        </is>
      </c>
      <c r="C10" s="9" t="inlineStr">
        <is>
          <t>GET_DM_PLN_SALES_PLAN_DATAEX L275-287 / DATAEX L275-287: GAM SEGMENT4=RTF_SYS_RP COUNT&gt;0 =&gt; v_EDIT_AUTH_RTF_SYS_RP=Y</t>
        </is>
      </c>
      <c r="D10" s="9" t="inlineStr"/>
      <c r="E10" s="9" t="inlineStr"/>
      <c r="F10" s="9" t="inlineStr"/>
      <c r="G10" s="9" t="inlineStr"/>
      <c r="H10" s="9" t="inlineStr"/>
    </row>
    <row r="11">
      <c r="A11" s="2" t="inlineStr">
        <is>
          <t>※ 편집권한 실효 산출 = 조회 SP GET_DM_PLN_SALES_PLAN_DATAEX 가 GET_ADMIN_GROUP(ADMIN 전편집) + GET_ADMIN_GROUP_MEASURE(메저별 COUNT&gt;0) 를 읽어 v_EDIT_AUTH_* 플래그 산출 → p_cur_edit_auth OUT.</t>
        </is>
      </c>
    </row>
    <row r="13" ht="20" customHeight="1">
      <c r="A13" s="4" t="inlineStr">
        <is>
          <t>B. Division 마스터 (SCM_MST_DIVISION 전수 14) — 편집실효 = GADM 등록 9 div (EE 6 미등록)</t>
        </is>
      </c>
    </row>
    <row r="14">
      <c r="A14" s="8" t="inlineStr">
        <is>
          <t>No</t>
        </is>
      </c>
      <c r="B14" s="8" t="inlineStr">
        <is>
          <t>DIVISION_ID</t>
        </is>
      </c>
      <c r="C14" s="8" t="inlineStr">
        <is>
          <t>명</t>
        </is>
      </c>
      <c r="D14" s="8" t="inlineStr">
        <is>
          <t>상위(A3)</t>
        </is>
      </c>
      <c r="E14" s="8" t="inlineStr">
        <is>
          <t>법인(A4)</t>
        </is>
      </c>
      <c r="F14" s="8" t="inlineStr">
        <is>
          <t>GADM 편집</t>
        </is>
      </c>
      <c r="G14" s="8" t="inlineStr">
        <is>
          <t>DailyPlan</t>
        </is>
      </c>
      <c r="H14" s="8" t="inlineStr">
        <is>
          <t>V</t>
        </is>
      </c>
    </row>
    <row r="15" ht="18" customHeight="1">
      <c r="A15" s="9" t="n">
        <v>1</v>
      </c>
      <c r="B15" s="9" t="inlineStr">
        <is>
          <t>40</t>
        </is>
      </c>
      <c r="C15" s="9" t="inlineStr">
        <is>
          <t>Mobility &amp; IT Battery</t>
        </is>
      </c>
      <c r="D15" s="9" t="inlineStr">
        <is>
          <t>40</t>
        </is>
      </c>
      <c r="E15" s="9" t="inlineStr">
        <is>
          <t>LG</t>
        </is>
      </c>
      <c r="F15" s="9" t="inlineStr">
        <is>
          <t>● 등록</t>
        </is>
      </c>
      <c r="G15" s="9" t="n">
        <v>57</v>
      </c>
      <c r="H15" s="9" t="inlineStr">
        <is>
          <t>Y</t>
        </is>
      </c>
    </row>
    <row r="16" ht="18" customHeight="1">
      <c r="A16" s="9" t="n">
        <v>2</v>
      </c>
      <c r="B16" s="9" t="inlineStr">
        <is>
          <t>81</t>
        </is>
      </c>
      <c r="C16" s="9" t="inlineStr">
        <is>
          <t>Automotive Battery</t>
        </is>
      </c>
      <c r="D16" s="9" t="inlineStr">
        <is>
          <t>81</t>
        </is>
      </c>
      <c r="E16" s="9" t="inlineStr">
        <is>
          <t>LG</t>
        </is>
      </c>
      <c r="F16" s="9" t="inlineStr">
        <is>
          <t>● 등록</t>
        </is>
      </c>
      <c r="G16" s="9" t="n">
        <v>57</v>
      </c>
      <c r="H16" s="9" t="inlineStr">
        <is>
          <t>Y</t>
        </is>
      </c>
    </row>
    <row r="17" ht="18" customHeight="1">
      <c r="A17" s="9" t="n">
        <v>3</v>
      </c>
      <c r="B17" s="9" t="inlineStr">
        <is>
          <t>81_HD</t>
        </is>
      </c>
      <c r="C17" s="9" t="inlineStr">
        <is>
          <t>Automotive Battery(HD)</t>
        </is>
      </c>
      <c r="D17" s="9" t="inlineStr">
        <is>
          <t>81</t>
        </is>
      </c>
      <c r="E17" s="9" t="inlineStr">
        <is>
          <t>HD</t>
        </is>
      </c>
      <c r="F17" s="9" t="inlineStr">
        <is>
          <t>● 등록</t>
        </is>
      </c>
      <c r="G17" s="9" t="n">
        <v>57</v>
      </c>
      <c r="H17" s="9" t="inlineStr">
        <is>
          <t>Y</t>
        </is>
      </c>
    </row>
    <row r="18" ht="18" customHeight="1">
      <c r="A18" s="9" t="n">
        <v>4</v>
      </c>
      <c r="B18" s="9" t="inlineStr">
        <is>
          <t>81_HG</t>
        </is>
      </c>
      <c r="C18" s="9" t="inlineStr">
        <is>
          <t>Automotive Battery(HG)</t>
        </is>
      </c>
      <c r="D18" s="9" t="inlineStr">
        <is>
          <t>81</t>
        </is>
      </c>
      <c r="E18" s="9" t="inlineStr">
        <is>
          <t>HG</t>
        </is>
      </c>
      <c r="F18" s="9" t="inlineStr">
        <is>
          <t>● 등록</t>
        </is>
      </c>
      <c r="G18" s="9" t="n">
        <v>57</v>
      </c>
      <c r="H18" s="9" t="inlineStr">
        <is>
          <t>Y</t>
        </is>
      </c>
    </row>
    <row r="19" ht="18" customHeight="1">
      <c r="A19" s="9" t="n">
        <v>5</v>
      </c>
      <c r="B19" s="9" t="inlineStr">
        <is>
          <t>81_HM</t>
        </is>
      </c>
      <c r="C19" s="9" t="inlineStr">
        <is>
          <t>Automotive Battery(HM)</t>
        </is>
      </c>
      <c r="D19" s="9" t="inlineStr">
        <is>
          <t>81</t>
        </is>
      </c>
      <c r="E19" s="9" t="inlineStr">
        <is>
          <t>HM</t>
        </is>
      </c>
      <c r="F19" s="9" t="inlineStr">
        <is>
          <t>● 등록</t>
        </is>
      </c>
      <c r="G19" s="9" t="n">
        <v>57</v>
      </c>
      <c r="H19" s="9" t="inlineStr">
        <is>
          <t>Y</t>
        </is>
      </c>
    </row>
    <row r="20" ht="18" customHeight="1">
      <c r="A20" s="9" t="n">
        <v>6</v>
      </c>
      <c r="B20" s="9" t="inlineStr">
        <is>
          <t>81_ST</t>
        </is>
      </c>
      <c r="C20" s="9" t="inlineStr">
        <is>
          <t>Automotive Battery(ST)</t>
        </is>
      </c>
      <c r="D20" s="9" t="inlineStr">
        <is>
          <t>81</t>
        </is>
      </c>
      <c r="E20" s="9" t="inlineStr">
        <is>
          <t>ST</t>
        </is>
      </c>
      <c r="F20" s="9" t="inlineStr">
        <is>
          <t>● 등록</t>
        </is>
      </c>
      <c r="G20" s="9" t="n">
        <v>57</v>
      </c>
      <c r="H20" s="9" t="inlineStr">
        <is>
          <t>Y</t>
        </is>
      </c>
    </row>
    <row r="21" ht="18" customHeight="1">
      <c r="A21" s="9" t="n">
        <v>7</v>
      </c>
      <c r="B21" s="9" t="inlineStr">
        <is>
          <t>81_UC</t>
        </is>
      </c>
      <c r="C21" s="9" t="inlineStr">
        <is>
          <t>Automotive Battery(UC)</t>
        </is>
      </c>
      <c r="D21" s="9" t="inlineStr">
        <is>
          <t>81</t>
        </is>
      </c>
      <c r="E21" s="9" t="inlineStr">
        <is>
          <t>UC</t>
        </is>
      </c>
      <c r="F21" s="9" t="inlineStr">
        <is>
          <t>● 등록</t>
        </is>
      </c>
      <c r="G21" s="9" t="n">
        <v>57</v>
      </c>
      <c r="H21" s="9" t="inlineStr">
        <is>
          <t>Y</t>
        </is>
      </c>
    </row>
    <row r="22" ht="18" customHeight="1">
      <c r="A22" s="9" t="n">
        <v>8</v>
      </c>
      <c r="B22" s="9" t="inlineStr">
        <is>
          <t>82</t>
        </is>
      </c>
      <c r="C22" s="9" t="inlineStr">
        <is>
          <t>ESS Battery</t>
        </is>
      </c>
      <c r="D22" s="9" t="inlineStr">
        <is>
          <t>82</t>
        </is>
      </c>
      <c r="E22" s="9" t="inlineStr">
        <is>
          <t>LG</t>
        </is>
      </c>
      <c r="F22" s="9" t="inlineStr">
        <is>
          <t>● 등록</t>
        </is>
      </c>
      <c r="G22" s="9" t="n">
        <v>57</v>
      </c>
      <c r="H22" s="9" t="inlineStr">
        <is>
          <t>Y</t>
        </is>
      </c>
    </row>
    <row r="23" ht="18" customHeight="1">
      <c r="A23" s="9" t="n">
        <v>9</v>
      </c>
      <c r="B23" s="9" t="inlineStr">
        <is>
          <t>EE</t>
        </is>
      </c>
      <c r="C23" s="9" t="inlineStr">
        <is>
          <t>Electrode</t>
        </is>
      </c>
      <c r="D23" s="9" t="inlineStr">
        <is>
          <t>EE</t>
        </is>
      </c>
      <c r="E23" s="9" t="inlineStr">
        <is>
          <t>LG</t>
        </is>
      </c>
      <c r="F23" s="9" t="inlineStr">
        <is>
          <t>— 미등록</t>
        </is>
      </c>
      <c r="G23" s="9" t="n">
        <v>57</v>
      </c>
      <c r="H23" s="9" t="inlineStr">
        <is>
          <t>Y</t>
        </is>
      </c>
    </row>
    <row r="24" ht="18" customHeight="1">
      <c r="A24" s="9" t="n">
        <v>10</v>
      </c>
      <c r="B24" s="9" t="inlineStr">
        <is>
          <t>EE_HD</t>
        </is>
      </c>
      <c r="C24" s="9" t="inlineStr">
        <is>
          <t>Electrode(HD)</t>
        </is>
      </c>
      <c r="D24" s="9" t="inlineStr">
        <is>
          <t>EE</t>
        </is>
      </c>
      <c r="E24" s="9" t="inlineStr">
        <is>
          <t>HD</t>
        </is>
      </c>
      <c r="F24" s="9" t="inlineStr">
        <is>
          <t>— 미등록</t>
        </is>
      </c>
      <c r="G24" s="9" t="n">
        <v>57</v>
      </c>
      <c r="H24" s="9" t="inlineStr">
        <is>
          <t>Y</t>
        </is>
      </c>
    </row>
    <row r="25" ht="18" customHeight="1">
      <c r="A25" s="9" t="n">
        <v>11</v>
      </c>
      <c r="B25" s="9" t="inlineStr">
        <is>
          <t>EE_HG</t>
        </is>
      </c>
      <c r="C25" s="9" t="inlineStr">
        <is>
          <t>Electrode(HG)</t>
        </is>
      </c>
      <c r="D25" s="9" t="inlineStr">
        <is>
          <t>EE</t>
        </is>
      </c>
      <c r="E25" s="9" t="inlineStr">
        <is>
          <t>HG</t>
        </is>
      </c>
      <c r="F25" s="9" t="inlineStr">
        <is>
          <t>— 미등록</t>
        </is>
      </c>
      <c r="G25" s="9" t="n">
        <v>57</v>
      </c>
      <c r="H25" s="9" t="inlineStr">
        <is>
          <t>Y</t>
        </is>
      </c>
    </row>
    <row r="26" ht="18" customHeight="1">
      <c r="A26" s="9" t="n">
        <v>12</v>
      </c>
      <c r="B26" s="9" t="inlineStr">
        <is>
          <t>EE_HM</t>
        </is>
      </c>
      <c r="C26" s="9" t="inlineStr">
        <is>
          <t>Electrode(HM)</t>
        </is>
      </c>
      <c r="D26" s="9" t="inlineStr">
        <is>
          <t>EE</t>
        </is>
      </c>
      <c r="E26" s="9" t="inlineStr">
        <is>
          <t>HM</t>
        </is>
      </c>
      <c r="F26" s="9" t="inlineStr">
        <is>
          <t>— 미등록</t>
        </is>
      </c>
      <c r="G26" s="9" t="n">
        <v>57</v>
      </c>
      <c r="H26" s="9" t="inlineStr">
        <is>
          <t>Y</t>
        </is>
      </c>
    </row>
    <row r="27" ht="18" customHeight="1">
      <c r="A27" s="9" t="n">
        <v>13</v>
      </c>
      <c r="B27" s="9" t="inlineStr">
        <is>
          <t>EE_ST</t>
        </is>
      </c>
      <c r="C27" s="9" t="inlineStr">
        <is>
          <t>Electrode(ST)</t>
        </is>
      </c>
      <c r="D27" s="9" t="inlineStr">
        <is>
          <t>EE</t>
        </is>
      </c>
      <c r="E27" s="9" t="inlineStr">
        <is>
          <t>ST</t>
        </is>
      </c>
      <c r="F27" s="9" t="inlineStr">
        <is>
          <t>— 미등록</t>
        </is>
      </c>
      <c r="G27" s="9" t="n">
        <v>57</v>
      </c>
      <c r="H27" s="9" t="inlineStr">
        <is>
          <t>Y</t>
        </is>
      </c>
    </row>
    <row r="28" ht="18" customHeight="1">
      <c r="A28" s="9" t="n">
        <v>14</v>
      </c>
      <c r="B28" s="9" t="inlineStr">
        <is>
          <t>EE_UC</t>
        </is>
      </c>
      <c r="C28" s="9" t="inlineStr">
        <is>
          <t>Electrode(UC)</t>
        </is>
      </c>
      <c r="D28" s="9" t="inlineStr">
        <is>
          <t>EE</t>
        </is>
      </c>
      <c r="E28" s="9" t="inlineStr">
        <is>
          <t>UC</t>
        </is>
      </c>
      <c r="F28" s="9" t="inlineStr">
        <is>
          <t>— 미등록</t>
        </is>
      </c>
      <c r="G28" s="9" t="n">
        <v>57</v>
      </c>
      <c r="H28" s="9" t="inlineStr">
        <is>
          <t>Y</t>
        </is>
      </c>
    </row>
    <row r="30" ht="20" customHeight="1">
      <c r="A30" s="4" t="inlineStr">
        <is>
          <t>C. ⭐ 편집 규칙 — 메저별 권한×Division×시간 (GET_ADMIN_GROUP_MEASURE 실효)</t>
        </is>
      </c>
    </row>
    <row r="31">
      <c r="A31" s="8" t="inlineStr">
        <is>
          <t>편집 메저</t>
        </is>
      </c>
      <c r="B31" s="8" t="inlineStr">
        <is>
          <t>편집 권한(그룹)</t>
        </is>
      </c>
      <c r="C31" s="8" t="inlineStr">
        <is>
          <t>Division</t>
        </is>
      </c>
      <c r="D31" s="8" t="inlineStr">
        <is>
          <t>시간락</t>
        </is>
      </c>
      <c r="E31" s="8" t="inlineStr">
        <is>
          <t>업무 규칙(회의)</t>
        </is>
      </c>
      <c r="F31" s="8" t="inlineStr"/>
      <c r="G31" s="8" t="inlineStr"/>
      <c r="H31" s="8" t="inlineStr"/>
    </row>
    <row r="32" ht="60" customHeight="1">
      <c r="A32" s="9" t="inlineStr">
        <is>
          <t>RTF_SYS_RP</t>
        </is>
      </c>
      <c r="B32" s="9" t="inlineStr">
        <is>
          <t>ADMIN/SCM PI Admin/SCP Planner</t>
        </is>
      </c>
      <c r="C32" s="9" t="inlineStr">
        <is>
          <t>40, 81, 81_HD, 81_HG, 81_HM, 81_ST, 81_UC (7)</t>
        </is>
      </c>
      <c r="D32" s="9" t="inlineStr">
        <is>
          <t>MON/SAT 16:00 (40=월/81=토/81_*=월)</t>
        </is>
      </c>
      <c r="E32" s="9" t="inlineStr">
        <is>
          <t>SCP 플래너가 RTF 수정 · 컷오프 前에만 수정 가능 (컷오프 후 잠금)</t>
        </is>
      </c>
      <c r="F32" s="9" t="inlineStr"/>
      <c r="G32" s="9" t="inlineStr"/>
      <c r="H32" s="9" t="inlineStr"/>
    </row>
    <row r="33" ht="45" customHeight="1">
      <c r="A33" s="9" t="inlineStr">
        <is>
          <t>SalesAmt_LOC</t>
        </is>
      </c>
      <c r="B33" s="9" t="inlineStr">
        <is>
          <t>ADMIN/DM ADMIN/DM Planner/SCM PI Admin</t>
        </is>
      </c>
      <c r="C33" s="9" t="inlineStr">
        <is>
          <t>40, 81, 81_HD, 81_HG, 81_HM, 81_ST, 81_UC, 82 (8)</t>
        </is>
      </c>
      <c r="D33" s="9" t="inlineStr">
        <is>
          <t>없음</t>
        </is>
      </c>
      <c r="E33" s="9" t="inlineStr">
        <is>
          <t>기타매출(LOC) 실적/계획 · 시간락 없음</t>
        </is>
      </c>
      <c r="F33" s="9" t="inlineStr"/>
      <c r="G33" s="9" t="inlineStr"/>
      <c r="H33" s="9" t="inlineStr"/>
    </row>
    <row r="34">
      <c r="A34" s="11" t="inlineStr">
        <is>
          <t>⭐ 회의 확정: RTF=SCP 플래너 수정(SCM 플래너와 권한 상이) · 컷오프 전만. 실측 = RTF_SYS_RP 3권한(ADMIN/SCM PI Admin/SCP Planner)×7div(82 제외)×월/토 16시 락 / SalesAmt_LOC 4권한×8div(82 포함)×무락.</t>
        </is>
      </c>
    </row>
    <row r="35">
      <c r="A35" s="11" t="inlineStr">
        <is>
          <t>⚠ 편집규칙 이원화: DMF0021 은 구방식 GET_ADMIN_GROUP_MEASURE 만 사용. 신방식 DM_UI_EDITABLE_MEASURE/DIVISION = 0행(DMF0082/0003/0020 전용). React 전환 시 통일 검토. EE 6 div GADM 미등록 → 비ADMIN EE 편집 불가.</t>
        </is>
      </c>
    </row>
    <row r="37" ht="20" customHeight="1">
      <c r="A37" s="4" t="inlineStr">
        <is>
          <t>D. GET_ADMIN_GROUP_MEASURE 전수 (53행 — 권한×Division×메저×요일×시각)</t>
        </is>
      </c>
    </row>
    <row r="38">
      <c r="A38" s="8" t="inlineStr">
        <is>
          <t>No</t>
        </is>
      </c>
      <c r="B38" s="8" t="inlineStr">
        <is>
          <t>권한그룹</t>
        </is>
      </c>
      <c r="C38" s="8" t="inlineStr">
        <is>
          <t>Division</t>
        </is>
      </c>
      <c r="D38" s="8" t="inlineStr">
        <is>
          <t>메저</t>
        </is>
      </c>
      <c r="E38" s="8" t="inlineStr">
        <is>
          <t>요일</t>
        </is>
      </c>
      <c r="F38" s="8" t="inlineStr">
        <is>
          <t>시각</t>
        </is>
      </c>
      <c r="G38" s="8" t="inlineStr">
        <is>
          <t>FLAG(SEG5)</t>
        </is>
      </c>
      <c r="H38" s="8" t="inlineStr">
        <is>
          <t>V</t>
        </is>
      </c>
    </row>
    <row r="39" ht="18" customHeight="1">
      <c r="A39" s="9" t="n">
        <v>1</v>
      </c>
      <c r="B39" s="9" t="inlineStr">
        <is>
          <t>ADMIN</t>
        </is>
      </c>
      <c r="C39" s="9" t="inlineStr">
        <is>
          <t>40</t>
        </is>
      </c>
      <c r="D39" s="9" t="inlineStr">
        <is>
          <t>RTF_SYS_RP</t>
        </is>
      </c>
      <c r="E39" s="9" t="inlineStr">
        <is>
          <t>MON</t>
        </is>
      </c>
      <c r="F39" s="9" t="inlineStr">
        <is>
          <t>1600</t>
        </is>
      </c>
      <c r="G39" s="9" t="inlineStr">
        <is>
          <t>-</t>
        </is>
      </c>
      <c r="H39" s="9" t="inlineStr">
        <is>
          <t>Y</t>
        </is>
      </c>
    </row>
    <row r="40" ht="18" customHeight="1">
      <c r="A40" s="9" t="n">
        <v>2</v>
      </c>
      <c r="B40" s="9" t="inlineStr">
        <is>
          <t>ADMIN</t>
        </is>
      </c>
      <c r="C40" s="9" t="inlineStr">
        <is>
          <t>81</t>
        </is>
      </c>
      <c r="D40" s="9" t="inlineStr">
        <is>
          <t>RTF_SYS_RP</t>
        </is>
      </c>
      <c r="E40" s="9" t="inlineStr">
        <is>
          <t>SAT</t>
        </is>
      </c>
      <c r="F40" s="9" t="inlineStr">
        <is>
          <t>1600</t>
        </is>
      </c>
      <c r="G40" s="9" t="inlineStr">
        <is>
          <t>-</t>
        </is>
      </c>
      <c r="H40" s="9" t="inlineStr">
        <is>
          <t>Y</t>
        </is>
      </c>
    </row>
    <row r="41" ht="18" customHeight="1">
      <c r="A41" s="9" t="n">
        <v>3</v>
      </c>
      <c r="B41" s="9" t="inlineStr">
        <is>
          <t>ADMIN</t>
        </is>
      </c>
      <c r="C41" s="9" t="inlineStr">
        <is>
          <t>81_HD</t>
        </is>
      </c>
      <c r="D41" s="9" t="inlineStr">
        <is>
          <t>RTF_SYS_RP</t>
        </is>
      </c>
      <c r="E41" s="9" t="inlineStr">
        <is>
          <t>MON</t>
        </is>
      </c>
      <c r="F41" s="9" t="inlineStr">
        <is>
          <t>1600</t>
        </is>
      </c>
      <c r="G41" s="9" t="inlineStr">
        <is>
          <t>Y</t>
        </is>
      </c>
      <c r="H41" s="9" t="inlineStr">
        <is>
          <t>Y</t>
        </is>
      </c>
    </row>
    <row r="42" ht="18" customHeight="1">
      <c r="A42" s="9" t="n">
        <v>4</v>
      </c>
      <c r="B42" s="9" t="inlineStr">
        <is>
          <t>ADMIN</t>
        </is>
      </c>
      <c r="C42" s="9" t="inlineStr">
        <is>
          <t>81_HG</t>
        </is>
      </c>
      <c r="D42" s="9" t="inlineStr">
        <is>
          <t>RTF_SYS_RP</t>
        </is>
      </c>
      <c r="E42" s="9" t="inlineStr">
        <is>
          <t>MON</t>
        </is>
      </c>
      <c r="F42" s="9" t="inlineStr">
        <is>
          <t>1600</t>
        </is>
      </c>
      <c r="G42" s="9" t="inlineStr">
        <is>
          <t>Y</t>
        </is>
      </c>
      <c r="H42" s="9" t="inlineStr">
        <is>
          <t>Y</t>
        </is>
      </c>
    </row>
    <row r="43" ht="18" customHeight="1">
      <c r="A43" s="9" t="n">
        <v>5</v>
      </c>
      <c r="B43" s="9" t="inlineStr">
        <is>
          <t>ADMIN</t>
        </is>
      </c>
      <c r="C43" s="9" t="inlineStr">
        <is>
          <t>81_HM</t>
        </is>
      </c>
      <c r="D43" s="9" t="inlineStr">
        <is>
          <t>RTF_SYS_RP</t>
        </is>
      </c>
      <c r="E43" s="9" t="inlineStr">
        <is>
          <t>MON</t>
        </is>
      </c>
      <c r="F43" s="9" t="inlineStr">
        <is>
          <t>1600</t>
        </is>
      </c>
      <c r="G43" s="9" t="inlineStr">
        <is>
          <t>Y</t>
        </is>
      </c>
      <c r="H43" s="9" t="inlineStr">
        <is>
          <t>Y</t>
        </is>
      </c>
    </row>
    <row r="44" ht="18" customHeight="1">
      <c r="A44" s="9" t="n">
        <v>6</v>
      </c>
      <c r="B44" s="9" t="inlineStr">
        <is>
          <t>ADMIN</t>
        </is>
      </c>
      <c r="C44" s="9" t="inlineStr">
        <is>
          <t>81_ST</t>
        </is>
      </c>
      <c r="D44" s="9" t="inlineStr">
        <is>
          <t>RTF_SYS_RP</t>
        </is>
      </c>
      <c r="E44" s="9" t="inlineStr">
        <is>
          <t>MON</t>
        </is>
      </c>
      <c r="F44" s="9" t="inlineStr">
        <is>
          <t>1600</t>
        </is>
      </c>
      <c r="G44" s="9" t="inlineStr">
        <is>
          <t>Y</t>
        </is>
      </c>
      <c r="H44" s="9" t="inlineStr">
        <is>
          <t>Y</t>
        </is>
      </c>
    </row>
    <row r="45" ht="18" customHeight="1">
      <c r="A45" s="9" t="n">
        <v>7</v>
      </c>
      <c r="B45" s="9" t="inlineStr">
        <is>
          <t>ADMIN</t>
        </is>
      </c>
      <c r="C45" s="9" t="inlineStr">
        <is>
          <t>81_UC</t>
        </is>
      </c>
      <c r="D45" s="9" t="inlineStr">
        <is>
          <t>RTF_SYS_RP</t>
        </is>
      </c>
      <c r="E45" s="9" t="inlineStr">
        <is>
          <t>MON</t>
        </is>
      </c>
      <c r="F45" s="9" t="inlineStr">
        <is>
          <t>1600</t>
        </is>
      </c>
      <c r="G45" s="9" t="inlineStr">
        <is>
          <t>Y</t>
        </is>
      </c>
      <c r="H45" s="9" t="inlineStr">
        <is>
          <t>Y</t>
        </is>
      </c>
    </row>
    <row r="46" ht="18" customHeight="1">
      <c r="A46" s="9" t="n">
        <v>8</v>
      </c>
      <c r="B46" s="9" t="inlineStr">
        <is>
          <t>SCM PI Admin</t>
        </is>
      </c>
      <c r="C46" s="9" t="inlineStr">
        <is>
          <t>40</t>
        </is>
      </c>
      <c r="D46" s="9" t="inlineStr">
        <is>
          <t>RTF_SYS_RP</t>
        </is>
      </c>
      <c r="E46" s="9" t="inlineStr">
        <is>
          <t>MON</t>
        </is>
      </c>
      <c r="F46" s="9" t="inlineStr">
        <is>
          <t>1600</t>
        </is>
      </c>
      <c r="G46" s="9" t="inlineStr">
        <is>
          <t>-</t>
        </is>
      </c>
      <c r="H46" s="9" t="inlineStr">
        <is>
          <t>Y</t>
        </is>
      </c>
    </row>
    <row r="47" ht="18" customHeight="1">
      <c r="A47" s="9" t="n">
        <v>9</v>
      </c>
      <c r="B47" s="9" t="inlineStr">
        <is>
          <t>SCM PI Admin</t>
        </is>
      </c>
      <c r="C47" s="9" t="inlineStr">
        <is>
          <t>81</t>
        </is>
      </c>
      <c r="D47" s="9" t="inlineStr">
        <is>
          <t>RTF_SYS_RP</t>
        </is>
      </c>
      <c r="E47" s="9" t="inlineStr">
        <is>
          <t>SAT</t>
        </is>
      </c>
      <c r="F47" s="9" t="inlineStr">
        <is>
          <t>1600</t>
        </is>
      </c>
      <c r="G47" s="9" t="inlineStr">
        <is>
          <t>-</t>
        </is>
      </c>
      <c r="H47" s="9" t="inlineStr">
        <is>
          <t>Y</t>
        </is>
      </c>
    </row>
    <row r="48" ht="18" customHeight="1">
      <c r="A48" s="9" t="n">
        <v>10</v>
      </c>
      <c r="B48" s="9" t="inlineStr">
        <is>
          <t>SCM PI Admin</t>
        </is>
      </c>
      <c r="C48" s="9" t="inlineStr">
        <is>
          <t>81_HD</t>
        </is>
      </c>
      <c r="D48" s="9" t="inlineStr">
        <is>
          <t>RTF_SYS_RP</t>
        </is>
      </c>
      <c r="E48" s="9" t="inlineStr">
        <is>
          <t>MON</t>
        </is>
      </c>
      <c r="F48" s="9" t="inlineStr">
        <is>
          <t>1600</t>
        </is>
      </c>
      <c r="G48" s="9" t="inlineStr">
        <is>
          <t>Y</t>
        </is>
      </c>
      <c r="H48" s="9" t="inlineStr">
        <is>
          <t>Y</t>
        </is>
      </c>
    </row>
    <row r="49" ht="18" customHeight="1">
      <c r="A49" s="9" t="n">
        <v>11</v>
      </c>
      <c r="B49" s="9" t="inlineStr">
        <is>
          <t>SCM PI Admin</t>
        </is>
      </c>
      <c r="C49" s="9" t="inlineStr">
        <is>
          <t>81_HG</t>
        </is>
      </c>
      <c r="D49" s="9" t="inlineStr">
        <is>
          <t>RTF_SYS_RP</t>
        </is>
      </c>
      <c r="E49" s="9" t="inlineStr">
        <is>
          <t>MON</t>
        </is>
      </c>
      <c r="F49" s="9" t="inlineStr">
        <is>
          <t>1600</t>
        </is>
      </c>
      <c r="G49" s="9" t="inlineStr">
        <is>
          <t>Y</t>
        </is>
      </c>
      <c r="H49" s="9" t="inlineStr">
        <is>
          <t>Y</t>
        </is>
      </c>
    </row>
    <row r="50" ht="18" customHeight="1">
      <c r="A50" s="9" t="n">
        <v>12</v>
      </c>
      <c r="B50" s="9" t="inlineStr">
        <is>
          <t>SCM PI Admin</t>
        </is>
      </c>
      <c r="C50" s="9" t="inlineStr">
        <is>
          <t>81_HM</t>
        </is>
      </c>
      <c r="D50" s="9" t="inlineStr">
        <is>
          <t>RTF_SYS_RP</t>
        </is>
      </c>
      <c r="E50" s="9" t="inlineStr">
        <is>
          <t>MON</t>
        </is>
      </c>
      <c r="F50" s="9" t="inlineStr">
        <is>
          <t>1600</t>
        </is>
      </c>
      <c r="G50" s="9" t="inlineStr">
        <is>
          <t>Y</t>
        </is>
      </c>
      <c r="H50" s="9" t="inlineStr">
        <is>
          <t>Y</t>
        </is>
      </c>
    </row>
    <row r="51" ht="18" customHeight="1">
      <c r="A51" s="9" t="n">
        <v>13</v>
      </c>
      <c r="B51" s="9" t="inlineStr">
        <is>
          <t>SCM PI Admin</t>
        </is>
      </c>
      <c r="C51" s="9" t="inlineStr">
        <is>
          <t>81_ST</t>
        </is>
      </c>
      <c r="D51" s="9" t="inlineStr">
        <is>
          <t>RTF_SYS_RP</t>
        </is>
      </c>
      <c r="E51" s="9" t="inlineStr">
        <is>
          <t>MON</t>
        </is>
      </c>
      <c r="F51" s="9" t="inlineStr">
        <is>
          <t>1600</t>
        </is>
      </c>
      <c r="G51" s="9" t="inlineStr">
        <is>
          <t>Y</t>
        </is>
      </c>
      <c r="H51" s="9" t="inlineStr">
        <is>
          <t>Y</t>
        </is>
      </c>
    </row>
    <row r="52" ht="18" customHeight="1">
      <c r="A52" s="9" t="n">
        <v>14</v>
      </c>
      <c r="B52" s="9" t="inlineStr">
        <is>
          <t>SCM PI Admin</t>
        </is>
      </c>
      <c r="C52" s="9" t="inlineStr">
        <is>
          <t>81_UC</t>
        </is>
      </c>
      <c r="D52" s="9" t="inlineStr">
        <is>
          <t>RTF_SYS_RP</t>
        </is>
      </c>
      <c r="E52" s="9" t="inlineStr">
        <is>
          <t>MON</t>
        </is>
      </c>
      <c r="F52" s="9" t="inlineStr">
        <is>
          <t>1600</t>
        </is>
      </c>
      <c r="G52" s="9" t="inlineStr">
        <is>
          <t>Y</t>
        </is>
      </c>
      <c r="H52" s="9" t="inlineStr">
        <is>
          <t>Y</t>
        </is>
      </c>
    </row>
    <row r="53" ht="18" customHeight="1">
      <c r="A53" s="9" t="n">
        <v>15</v>
      </c>
      <c r="B53" s="9" t="inlineStr">
        <is>
          <t>SCP Planner</t>
        </is>
      </c>
      <c r="C53" s="9" t="inlineStr">
        <is>
          <t>40</t>
        </is>
      </c>
      <c r="D53" s="9" t="inlineStr">
        <is>
          <t>RTF_SYS_RP</t>
        </is>
      </c>
      <c r="E53" s="9" t="inlineStr">
        <is>
          <t>MON</t>
        </is>
      </c>
      <c r="F53" s="9" t="inlineStr">
        <is>
          <t>1600</t>
        </is>
      </c>
      <c r="G53" s="9" t="inlineStr">
        <is>
          <t>-</t>
        </is>
      </c>
      <c r="H53" s="9" t="inlineStr">
        <is>
          <t>Y</t>
        </is>
      </c>
    </row>
    <row r="54" ht="18" customHeight="1">
      <c r="A54" s="9" t="n">
        <v>16</v>
      </c>
      <c r="B54" s="9" t="inlineStr">
        <is>
          <t>SCP Planner</t>
        </is>
      </c>
      <c r="C54" s="9" t="inlineStr">
        <is>
          <t>81</t>
        </is>
      </c>
      <c r="D54" s="9" t="inlineStr">
        <is>
          <t>RTF_SYS_RP</t>
        </is>
      </c>
      <c r="E54" s="9" t="inlineStr">
        <is>
          <t>SAT</t>
        </is>
      </c>
      <c r="F54" s="9" t="inlineStr">
        <is>
          <t>1600</t>
        </is>
      </c>
      <c r="G54" s="9" t="inlineStr">
        <is>
          <t>-</t>
        </is>
      </c>
      <c r="H54" s="9" t="inlineStr">
        <is>
          <t>Y</t>
        </is>
      </c>
    </row>
    <row r="55" ht="18" customHeight="1">
      <c r="A55" s="9" t="n">
        <v>17</v>
      </c>
      <c r="B55" s="9" t="inlineStr">
        <is>
          <t>SCP Planner</t>
        </is>
      </c>
      <c r="C55" s="9" t="inlineStr">
        <is>
          <t>81_HD</t>
        </is>
      </c>
      <c r="D55" s="9" t="inlineStr">
        <is>
          <t>RTF_SYS_RP</t>
        </is>
      </c>
      <c r="E55" s="9" t="inlineStr">
        <is>
          <t>MON</t>
        </is>
      </c>
      <c r="F55" s="9" t="inlineStr">
        <is>
          <t>1600</t>
        </is>
      </c>
      <c r="G55" s="9" t="inlineStr">
        <is>
          <t>Y</t>
        </is>
      </c>
      <c r="H55" s="9" t="inlineStr">
        <is>
          <t>Y</t>
        </is>
      </c>
    </row>
    <row r="56" ht="18" customHeight="1">
      <c r="A56" s="9" t="n">
        <v>18</v>
      </c>
      <c r="B56" s="9" t="inlineStr">
        <is>
          <t>SCP Planner</t>
        </is>
      </c>
      <c r="C56" s="9" t="inlineStr">
        <is>
          <t>81_HG</t>
        </is>
      </c>
      <c r="D56" s="9" t="inlineStr">
        <is>
          <t>RTF_SYS_RP</t>
        </is>
      </c>
      <c r="E56" s="9" t="inlineStr">
        <is>
          <t>MON</t>
        </is>
      </c>
      <c r="F56" s="9" t="inlineStr">
        <is>
          <t>1600</t>
        </is>
      </c>
      <c r="G56" s="9" t="inlineStr">
        <is>
          <t>Y</t>
        </is>
      </c>
      <c r="H56" s="9" t="inlineStr">
        <is>
          <t>Y</t>
        </is>
      </c>
    </row>
    <row r="57" ht="18" customHeight="1">
      <c r="A57" s="9" t="n">
        <v>19</v>
      </c>
      <c r="B57" s="9" t="inlineStr">
        <is>
          <t>SCP Planner</t>
        </is>
      </c>
      <c r="C57" s="9" t="inlineStr">
        <is>
          <t>81_HM</t>
        </is>
      </c>
      <c r="D57" s="9" t="inlineStr">
        <is>
          <t>RTF_SYS_RP</t>
        </is>
      </c>
      <c r="E57" s="9" t="inlineStr">
        <is>
          <t>MON</t>
        </is>
      </c>
      <c r="F57" s="9" t="inlineStr">
        <is>
          <t>1600</t>
        </is>
      </c>
      <c r="G57" s="9" t="inlineStr">
        <is>
          <t>Y</t>
        </is>
      </c>
      <c r="H57" s="9" t="inlineStr">
        <is>
          <t>Y</t>
        </is>
      </c>
    </row>
    <row r="58" ht="18" customHeight="1">
      <c r="A58" s="9" t="n">
        <v>20</v>
      </c>
      <c r="B58" s="9" t="inlineStr">
        <is>
          <t>SCP Planner</t>
        </is>
      </c>
      <c r="C58" s="9" t="inlineStr">
        <is>
          <t>81_ST</t>
        </is>
      </c>
      <c r="D58" s="9" t="inlineStr">
        <is>
          <t>RTF_SYS_RP</t>
        </is>
      </c>
      <c r="E58" s="9" t="inlineStr">
        <is>
          <t>MON</t>
        </is>
      </c>
      <c r="F58" s="9" t="inlineStr">
        <is>
          <t>1600</t>
        </is>
      </c>
      <c r="G58" s="9" t="inlineStr">
        <is>
          <t>Y</t>
        </is>
      </c>
      <c r="H58" s="9" t="inlineStr">
        <is>
          <t>Y</t>
        </is>
      </c>
    </row>
    <row r="59" ht="18" customHeight="1">
      <c r="A59" s="9" t="n">
        <v>21</v>
      </c>
      <c r="B59" s="9" t="inlineStr">
        <is>
          <t>SCP Planner</t>
        </is>
      </c>
      <c r="C59" s="9" t="inlineStr">
        <is>
          <t>81_UC</t>
        </is>
      </c>
      <c r="D59" s="9" t="inlineStr">
        <is>
          <t>RTF_SYS_RP</t>
        </is>
      </c>
      <c r="E59" s="9" t="inlineStr">
        <is>
          <t>MON</t>
        </is>
      </c>
      <c r="F59" s="9" t="inlineStr">
        <is>
          <t>1600</t>
        </is>
      </c>
      <c r="G59" s="9" t="inlineStr">
        <is>
          <t>Y</t>
        </is>
      </c>
      <c r="H59" s="9" t="inlineStr">
        <is>
          <t>Y</t>
        </is>
      </c>
    </row>
    <row r="60" ht="18" customHeight="1">
      <c r="A60" s="9" t="n">
        <v>22</v>
      </c>
      <c r="B60" s="9" t="inlineStr">
        <is>
          <t>ADMIN</t>
        </is>
      </c>
      <c r="C60" s="9" t="inlineStr">
        <is>
          <t>40</t>
        </is>
      </c>
      <c r="D60" s="9" t="inlineStr">
        <is>
          <t>SalesAmt_LOC</t>
        </is>
      </c>
      <c r="E60" s="9" t="inlineStr">
        <is>
          <t>-</t>
        </is>
      </c>
      <c r="F60" s="9" t="inlineStr">
        <is>
          <t>-</t>
        </is>
      </c>
      <c r="G60" s="9" t="inlineStr">
        <is>
          <t>-</t>
        </is>
      </c>
      <c r="H60" s="9" t="inlineStr">
        <is>
          <t>Y</t>
        </is>
      </c>
    </row>
    <row r="61" ht="18" customHeight="1">
      <c r="A61" s="9" t="n">
        <v>23</v>
      </c>
      <c r="B61" s="9" t="inlineStr">
        <is>
          <t>ADMIN</t>
        </is>
      </c>
      <c r="C61" s="9" t="inlineStr">
        <is>
          <t>81</t>
        </is>
      </c>
      <c r="D61" s="9" t="inlineStr">
        <is>
          <t>SalesAmt_LOC</t>
        </is>
      </c>
      <c r="E61" s="9" t="inlineStr">
        <is>
          <t>-</t>
        </is>
      </c>
      <c r="F61" s="9" t="inlineStr">
        <is>
          <t>-</t>
        </is>
      </c>
      <c r="G61" s="9" t="inlineStr">
        <is>
          <t>-</t>
        </is>
      </c>
      <c r="H61" s="9" t="inlineStr">
        <is>
          <t>Y</t>
        </is>
      </c>
    </row>
    <row r="62" ht="18" customHeight="1">
      <c r="A62" s="9" t="n">
        <v>24</v>
      </c>
      <c r="B62" s="9" t="inlineStr">
        <is>
          <t>ADMIN</t>
        </is>
      </c>
      <c r="C62" s="9" t="inlineStr">
        <is>
          <t>81_HD</t>
        </is>
      </c>
      <c r="D62" s="9" t="inlineStr">
        <is>
          <t>SalesAmt_LOC</t>
        </is>
      </c>
      <c r="E62" s="9" t="inlineStr">
        <is>
          <t>-</t>
        </is>
      </c>
      <c r="F62" s="9" t="inlineStr">
        <is>
          <t>-</t>
        </is>
      </c>
      <c r="G62" s="9" t="inlineStr">
        <is>
          <t>Y</t>
        </is>
      </c>
      <c r="H62" s="9" t="inlineStr">
        <is>
          <t>Y</t>
        </is>
      </c>
    </row>
    <row r="63" ht="18" customHeight="1">
      <c r="A63" s="9" t="n">
        <v>25</v>
      </c>
      <c r="B63" s="9" t="inlineStr">
        <is>
          <t>ADMIN</t>
        </is>
      </c>
      <c r="C63" s="9" t="inlineStr">
        <is>
          <t>81_HG</t>
        </is>
      </c>
      <c r="D63" s="9" t="inlineStr">
        <is>
          <t>SalesAmt_LOC</t>
        </is>
      </c>
      <c r="E63" s="9" t="inlineStr">
        <is>
          <t>-</t>
        </is>
      </c>
      <c r="F63" s="9" t="inlineStr">
        <is>
          <t>-</t>
        </is>
      </c>
      <c r="G63" s="9" t="inlineStr">
        <is>
          <t>Y</t>
        </is>
      </c>
      <c r="H63" s="9" t="inlineStr">
        <is>
          <t>Y</t>
        </is>
      </c>
    </row>
    <row r="64" ht="18" customHeight="1">
      <c r="A64" s="9" t="n">
        <v>26</v>
      </c>
      <c r="B64" s="9" t="inlineStr">
        <is>
          <t>ADMIN</t>
        </is>
      </c>
      <c r="C64" s="9" t="inlineStr">
        <is>
          <t>81_HM</t>
        </is>
      </c>
      <c r="D64" s="9" t="inlineStr">
        <is>
          <t>SalesAmt_LOC</t>
        </is>
      </c>
      <c r="E64" s="9" t="inlineStr">
        <is>
          <t>-</t>
        </is>
      </c>
      <c r="F64" s="9" t="inlineStr">
        <is>
          <t>-</t>
        </is>
      </c>
      <c r="G64" s="9" t="inlineStr">
        <is>
          <t>Y</t>
        </is>
      </c>
      <c r="H64" s="9" t="inlineStr">
        <is>
          <t>Y</t>
        </is>
      </c>
    </row>
    <row r="65" ht="18" customHeight="1">
      <c r="A65" s="9" t="n">
        <v>27</v>
      </c>
      <c r="B65" s="9" t="inlineStr">
        <is>
          <t>ADMIN</t>
        </is>
      </c>
      <c r="C65" s="9" t="inlineStr">
        <is>
          <t>81_ST</t>
        </is>
      </c>
      <c r="D65" s="9" t="inlineStr">
        <is>
          <t>SalesAmt_LOC</t>
        </is>
      </c>
      <c r="E65" s="9" t="inlineStr">
        <is>
          <t>-</t>
        </is>
      </c>
      <c r="F65" s="9" t="inlineStr">
        <is>
          <t>-</t>
        </is>
      </c>
      <c r="G65" s="9" t="inlineStr">
        <is>
          <t>Y</t>
        </is>
      </c>
      <c r="H65" s="9" t="inlineStr">
        <is>
          <t>Y</t>
        </is>
      </c>
    </row>
    <row r="66" ht="18" customHeight="1">
      <c r="A66" s="9" t="n">
        <v>28</v>
      </c>
      <c r="B66" s="9" t="inlineStr">
        <is>
          <t>ADMIN</t>
        </is>
      </c>
      <c r="C66" s="9" t="inlineStr">
        <is>
          <t>81_UC</t>
        </is>
      </c>
      <c r="D66" s="9" t="inlineStr">
        <is>
          <t>SalesAmt_LOC</t>
        </is>
      </c>
      <c r="E66" s="9" t="inlineStr">
        <is>
          <t>-</t>
        </is>
      </c>
      <c r="F66" s="9" t="inlineStr">
        <is>
          <t>-</t>
        </is>
      </c>
      <c r="G66" s="9" t="inlineStr">
        <is>
          <t>Y</t>
        </is>
      </c>
      <c r="H66" s="9" t="inlineStr">
        <is>
          <t>Y</t>
        </is>
      </c>
    </row>
    <row r="67" ht="18" customHeight="1">
      <c r="A67" s="9" t="n">
        <v>29</v>
      </c>
      <c r="B67" s="9" t="inlineStr">
        <is>
          <t>ADMIN</t>
        </is>
      </c>
      <c r="C67" s="9" t="inlineStr">
        <is>
          <t>82</t>
        </is>
      </c>
      <c r="D67" s="9" t="inlineStr">
        <is>
          <t>SalesAmt_LOC</t>
        </is>
      </c>
      <c r="E67" s="9" t="inlineStr">
        <is>
          <t>-</t>
        </is>
      </c>
      <c r="F67" s="9" t="inlineStr">
        <is>
          <t>-</t>
        </is>
      </c>
      <c r="G67" s="9" t="inlineStr">
        <is>
          <t>-</t>
        </is>
      </c>
      <c r="H67" s="9" t="inlineStr">
        <is>
          <t>Y</t>
        </is>
      </c>
    </row>
    <row r="68" ht="18" customHeight="1">
      <c r="A68" s="9" t="n">
        <v>30</v>
      </c>
      <c r="B68" s="9" t="inlineStr">
        <is>
          <t>DM ADMIN</t>
        </is>
      </c>
      <c r="C68" s="9" t="inlineStr">
        <is>
          <t>40</t>
        </is>
      </c>
      <c r="D68" s="9" t="inlineStr">
        <is>
          <t>SalesAmt_LOC</t>
        </is>
      </c>
      <c r="E68" s="9" t="inlineStr">
        <is>
          <t>-</t>
        </is>
      </c>
      <c r="F68" s="9" t="inlineStr">
        <is>
          <t>-</t>
        </is>
      </c>
      <c r="G68" s="9" t="inlineStr">
        <is>
          <t>-</t>
        </is>
      </c>
      <c r="H68" s="9" t="inlineStr">
        <is>
          <t>Y</t>
        </is>
      </c>
    </row>
    <row r="69" ht="18" customHeight="1">
      <c r="A69" s="9" t="n">
        <v>31</v>
      </c>
      <c r="B69" s="9" t="inlineStr">
        <is>
          <t>DM ADMIN</t>
        </is>
      </c>
      <c r="C69" s="9" t="inlineStr">
        <is>
          <t>81</t>
        </is>
      </c>
      <c r="D69" s="9" t="inlineStr">
        <is>
          <t>SalesAmt_LOC</t>
        </is>
      </c>
      <c r="E69" s="9" t="inlineStr">
        <is>
          <t>-</t>
        </is>
      </c>
      <c r="F69" s="9" t="inlineStr">
        <is>
          <t>-</t>
        </is>
      </c>
      <c r="G69" s="9" t="inlineStr">
        <is>
          <t>-</t>
        </is>
      </c>
      <c r="H69" s="9" t="inlineStr">
        <is>
          <t>Y</t>
        </is>
      </c>
    </row>
    <row r="70" ht="18" customHeight="1">
      <c r="A70" s="9" t="n">
        <v>32</v>
      </c>
      <c r="B70" s="9" t="inlineStr">
        <is>
          <t>DM ADMIN</t>
        </is>
      </c>
      <c r="C70" s="9" t="inlineStr">
        <is>
          <t>81_HD</t>
        </is>
      </c>
      <c r="D70" s="9" t="inlineStr">
        <is>
          <t>SalesAmt_LOC</t>
        </is>
      </c>
      <c r="E70" s="9" t="inlineStr">
        <is>
          <t>-</t>
        </is>
      </c>
      <c r="F70" s="9" t="inlineStr">
        <is>
          <t>-</t>
        </is>
      </c>
      <c r="G70" s="9" t="inlineStr">
        <is>
          <t>Y</t>
        </is>
      </c>
      <c r="H70" s="9" t="inlineStr">
        <is>
          <t>Y</t>
        </is>
      </c>
    </row>
    <row r="71" ht="18" customHeight="1">
      <c r="A71" s="9" t="n">
        <v>33</v>
      </c>
      <c r="B71" s="9" t="inlineStr">
        <is>
          <t>DM ADMIN</t>
        </is>
      </c>
      <c r="C71" s="9" t="inlineStr">
        <is>
          <t>81_HG</t>
        </is>
      </c>
      <c r="D71" s="9" t="inlineStr">
        <is>
          <t>SalesAmt_LOC</t>
        </is>
      </c>
      <c r="E71" s="9" t="inlineStr">
        <is>
          <t>-</t>
        </is>
      </c>
      <c r="F71" s="9" t="inlineStr">
        <is>
          <t>-</t>
        </is>
      </c>
      <c r="G71" s="9" t="inlineStr">
        <is>
          <t>Y</t>
        </is>
      </c>
      <c r="H71" s="9" t="inlineStr">
        <is>
          <t>Y</t>
        </is>
      </c>
    </row>
    <row r="72" ht="18" customHeight="1">
      <c r="A72" s="9" t="n">
        <v>34</v>
      </c>
      <c r="B72" s="9" t="inlineStr">
        <is>
          <t>DM ADMIN</t>
        </is>
      </c>
      <c r="C72" s="9" t="inlineStr">
        <is>
          <t>81_HM</t>
        </is>
      </c>
      <c r="D72" s="9" t="inlineStr">
        <is>
          <t>SalesAmt_LOC</t>
        </is>
      </c>
      <c r="E72" s="9" t="inlineStr">
        <is>
          <t>-</t>
        </is>
      </c>
      <c r="F72" s="9" t="inlineStr">
        <is>
          <t>-</t>
        </is>
      </c>
      <c r="G72" s="9" t="inlineStr">
        <is>
          <t>Y</t>
        </is>
      </c>
      <c r="H72" s="9" t="inlineStr">
        <is>
          <t>Y</t>
        </is>
      </c>
    </row>
    <row r="73" ht="18" customHeight="1">
      <c r="A73" s="9" t="n">
        <v>35</v>
      </c>
      <c r="B73" s="9" t="inlineStr">
        <is>
          <t>DM ADMIN</t>
        </is>
      </c>
      <c r="C73" s="9" t="inlineStr">
        <is>
          <t>81_ST</t>
        </is>
      </c>
      <c r="D73" s="9" t="inlineStr">
        <is>
          <t>SalesAmt_LOC</t>
        </is>
      </c>
      <c r="E73" s="9" t="inlineStr">
        <is>
          <t>-</t>
        </is>
      </c>
      <c r="F73" s="9" t="inlineStr">
        <is>
          <t>-</t>
        </is>
      </c>
      <c r="G73" s="9" t="inlineStr">
        <is>
          <t>Y</t>
        </is>
      </c>
      <c r="H73" s="9" t="inlineStr">
        <is>
          <t>Y</t>
        </is>
      </c>
    </row>
    <row r="74" ht="18" customHeight="1">
      <c r="A74" s="9" t="n">
        <v>36</v>
      </c>
      <c r="B74" s="9" t="inlineStr">
        <is>
          <t>DM ADMIN</t>
        </is>
      </c>
      <c r="C74" s="9" t="inlineStr">
        <is>
          <t>81_UC</t>
        </is>
      </c>
      <c r="D74" s="9" t="inlineStr">
        <is>
          <t>SalesAmt_LOC</t>
        </is>
      </c>
      <c r="E74" s="9" t="inlineStr">
        <is>
          <t>-</t>
        </is>
      </c>
      <c r="F74" s="9" t="inlineStr">
        <is>
          <t>-</t>
        </is>
      </c>
      <c r="G74" s="9" t="inlineStr">
        <is>
          <t>Y</t>
        </is>
      </c>
      <c r="H74" s="9" t="inlineStr">
        <is>
          <t>Y</t>
        </is>
      </c>
    </row>
    <row r="75" ht="18" customHeight="1">
      <c r="A75" s="9" t="n">
        <v>37</v>
      </c>
      <c r="B75" s="9" t="inlineStr">
        <is>
          <t>DM ADMIN</t>
        </is>
      </c>
      <c r="C75" s="9" t="inlineStr">
        <is>
          <t>82</t>
        </is>
      </c>
      <c r="D75" s="9" t="inlineStr">
        <is>
          <t>SalesAmt_LOC</t>
        </is>
      </c>
      <c r="E75" s="9" t="inlineStr">
        <is>
          <t>-</t>
        </is>
      </c>
      <c r="F75" s="9" t="inlineStr">
        <is>
          <t>-</t>
        </is>
      </c>
      <c r="G75" s="9" t="inlineStr">
        <is>
          <t>-</t>
        </is>
      </c>
      <c r="H75" s="9" t="inlineStr">
        <is>
          <t>Y</t>
        </is>
      </c>
    </row>
    <row r="76" ht="18" customHeight="1">
      <c r="A76" s="9" t="n">
        <v>38</v>
      </c>
      <c r="B76" s="9" t="inlineStr">
        <is>
          <t>DM Planner</t>
        </is>
      </c>
      <c r="C76" s="9" t="inlineStr">
        <is>
          <t>40</t>
        </is>
      </c>
      <c r="D76" s="9" t="inlineStr">
        <is>
          <t>SalesAmt_LOC</t>
        </is>
      </c>
      <c r="E76" s="9" t="inlineStr">
        <is>
          <t>-</t>
        </is>
      </c>
      <c r="F76" s="9" t="inlineStr">
        <is>
          <t>-</t>
        </is>
      </c>
      <c r="G76" s="9" t="inlineStr">
        <is>
          <t>-</t>
        </is>
      </c>
      <c r="H76" s="9" t="inlineStr">
        <is>
          <t>Y</t>
        </is>
      </c>
    </row>
    <row r="77" ht="18" customHeight="1">
      <c r="A77" s="9" t="n">
        <v>39</v>
      </c>
      <c r="B77" s="9" t="inlineStr">
        <is>
          <t>DM Planner</t>
        </is>
      </c>
      <c r="C77" s="9" t="inlineStr">
        <is>
          <t>81</t>
        </is>
      </c>
      <c r="D77" s="9" t="inlineStr">
        <is>
          <t>SalesAmt_LOC</t>
        </is>
      </c>
      <c r="E77" s="9" t="inlineStr">
        <is>
          <t>-</t>
        </is>
      </c>
      <c r="F77" s="9" t="inlineStr">
        <is>
          <t>-</t>
        </is>
      </c>
      <c r="G77" s="9" t="inlineStr">
        <is>
          <t>-</t>
        </is>
      </c>
      <c r="H77" s="9" t="inlineStr">
        <is>
          <t>Y</t>
        </is>
      </c>
    </row>
    <row r="78" ht="18" customHeight="1">
      <c r="A78" s="9" t="n">
        <v>40</v>
      </c>
      <c r="B78" s="9" t="inlineStr">
        <is>
          <t>DM Planner</t>
        </is>
      </c>
      <c r="C78" s="9" t="inlineStr">
        <is>
          <t>81_HD</t>
        </is>
      </c>
      <c r="D78" s="9" t="inlineStr">
        <is>
          <t>SalesAmt_LOC</t>
        </is>
      </c>
      <c r="E78" s="9" t="inlineStr">
        <is>
          <t>-</t>
        </is>
      </c>
      <c r="F78" s="9" t="inlineStr">
        <is>
          <t>-</t>
        </is>
      </c>
      <c r="G78" s="9" t="inlineStr">
        <is>
          <t>Y</t>
        </is>
      </c>
      <c r="H78" s="9" t="inlineStr">
        <is>
          <t>Y</t>
        </is>
      </c>
    </row>
    <row r="79" ht="18" customHeight="1">
      <c r="A79" s="9" t="n">
        <v>41</v>
      </c>
      <c r="B79" s="9" t="inlineStr">
        <is>
          <t>DM Planner</t>
        </is>
      </c>
      <c r="C79" s="9" t="inlineStr">
        <is>
          <t>81_HG</t>
        </is>
      </c>
      <c r="D79" s="9" t="inlineStr">
        <is>
          <t>SalesAmt_LOC</t>
        </is>
      </c>
      <c r="E79" s="9" t="inlineStr">
        <is>
          <t>-</t>
        </is>
      </c>
      <c r="F79" s="9" t="inlineStr">
        <is>
          <t>-</t>
        </is>
      </c>
      <c r="G79" s="9" t="inlineStr">
        <is>
          <t>Y</t>
        </is>
      </c>
      <c r="H79" s="9" t="inlineStr">
        <is>
          <t>Y</t>
        </is>
      </c>
    </row>
    <row r="80" ht="18" customHeight="1">
      <c r="A80" s="9" t="n">
        <v>42</v>
      </c>
      <c r="B80" s="9" t="inlineStr">
        <is>
          <t>DM Planner</t>
        </is>
      </c>
      <c r="C80" s="9" t="inlineStr">
        <is>
          <t>81_HM</t>
        </is>
      </c>
      <c r="D80" s="9" t="inlineStr">
        <is>
          <t>SalesAmt_LOC</t>
        </is>
      </c>
      <c r="E80" s="9" t="inlineStr">
        <is>
          <t>-</t>
        </is>
      </c>
      <c r="F80" s="9" t="inlineStr">
        <is>
          <t>-</t>
        </is>
      </c>
      <c r="G80" s="9" t="inlineStr">
        <is>
          <t>Y</t>
        </is>
      </c>
      <c r="H80" s="9" t="inlineStr">
        <is>
          <t>Y</t>
        </is>
      </c>
    </row>
    <row r="81" ht="18" customHeight="1">
      <c r="A81" s="9" t="n">
        <v>43</v>
      </c>
      <c r="B81" s="9" t="inlineStr">
        <is>
          <t>DM Planner</t>
        </is>
      </c>
      <c r="C81" s="9" t="inlineStr">
        <is>
          <t>81_ST</t>
        </is>
      </c>
      <c r="D81" s="9" t="inlineStr">
        <is>
          <t>SalesAmt_LOC</t>
        </is>
      </c>
      <c r="E81" s="9" t="inlineStr">
        <is>
          <t>-</t>
        </is>
      </c>
      <c r="F81" s="9" t="inlineStr">
        <is>
          <t>-</t>
        </is>
      </c>
      <c r="G81" s="9" t="inlineStr">
        <is>
          <t>Y</t>
        </is>
      </c>
      <c r="H81" s="9" t="inlineStr">
        <is>
          <t>Y</t>
        </is>
      </c>
    </row>
    <row r="82" ht="18" customHeight="1">
      <c r="A82" s="9" t="n">
        <v>44</v>
      </c>
      <c r="B82" s="9" t="inlineStr">
        <is>
          <t>DM Planner</t>
        </is>
      </c>
      <c r="C82" s="9" t="inlineStr">
        <is>
          <t>81_UC</t>
        </is>
      </c>
      <c r="D82" s="9" t="inlineStr">
        <is>
          <t>SalesAmt_LOC</t>
        </is>
      </c>
      <c r="E82" s="9" t="inlineStr">
        <is>
          <t>-</t>
        </is>
      </c>
      <c r="F82" s="9" t="inlineStr">
        <is>
          <t>-</t>
        </is>
      </c>
      <c r="G82" s="9" t="inlineStr">
        <is>
          <t>Y</t>
        </is>
      </c>
      <c r="H82" s="9" t="inlineStr">
        <is>
          <t>Y</t>
        </is>
      </c>
    </row>
    <row r="83" ht="18" customHeight="1">
      <c r="A83" s="9" t="n">
        <v>45</v>
      </c>
      <c r="B83" s="9" t="inlineStr">
        <is>
          <t>DM Planner</t>
        </is>
      </c>
      <c r="C83" s="9" t="inlineStr">
        <is>
          <t>82</t>
        </is>
      </c>
      <c r="D83" s="9" t="inlineStr">
        <is>
          <t>SalesAmt_LOC</t>
        </is>
      </c>
      <c r="E83" s="9" t="inlineStr">
        <is>
          <t>-</t>
        </is>
      </c>
      <c r="F83" s="9" t="inlineStr">
        <is>
          <t>-</t>
        </is>
      </c>
      <c r="G83" s="9" t="inlineStr">
        <is>
          <t>-</t>
        </is>
      </c>
      <c r="H83" s="9" t="inlineStr">
        <is>
          <t>Y</t>
        </is>
      </c>
    </row>
    <row r="84" ht="18" customHeight="1">
      <c r="A84" s="9" t="n">
        <v>46</v>
      </c>
      <c r="B84" s="9" t="inlineStr">
        <is>
          <t>SCM PI Admin</t>
        </is>
      </c>
      <c r="C84" s="9" t="inlineStr">
        <is>
          <t>40</t>
        </is>
      </c>
      <c r="D84" s="9" t="inlineStr">
        <is>
          <t>SalesAmt_LOC</t>
        </is>
      </c>
      <c r="E84" s="9" t="inlineStr">
        <is>
          <t>-</t>
        </is>
      </c>
      <c r="F84" s="9" t="inlineStr">
        <is>
          <t>-</t>
        </is>
      </c>
      <c r="G84" s="9" t="inlineStr">
        <is>
          <t>-</t>
        </is>
      </c>
      <c r="H84" s="9" t="inlineStr">
        <is>
          <t>Y</t>
        </is>
      </c>
    </row>
    <row r="85" ht="18" customHeight="1">
      <c r="A85" s="9" t="n">
        <v>47</v>
      </c>
      <c r="B85" s="9" t="inlineStr">
        <is>
          <t>SCM PI Admin</t>
        </is>
      </c>
      <c r="C85" s="9" t="inlineStr">
        <is>
          <t>81</t>
        </is>
      </c>
      <c r="D85" s="9" t="inlineStr">
        <is>
          <t>SalesAmt_LOC</t>
        </is>
      </c>
      <c r="E85" s="9" t="inlineStr">
        <is>
          <t>-</t>
        </is>
      </c>
      <c r="F85" s="9" t="inlineStr">
        <is>
          <t>-</t>
        </is>
      </c>
      <c r="G85" s="9" t="inlineStr">
        <is>
          <t>-</t>
        </is>
      </c>
      <c r="H85" s="9" t="inlineStr">
        <is>
          <t>Y</t>
        </is>
      </c>
    </row>
    <row r="86" ht="18" customHeight="1">
      <c r="A86" s="9" t="n">
        <v>48</v>
      </c>
      <c r="B86" s="9" t="inlineStr">
        <is>
          <t>SCM PI Admin</t>
        </is>
      </c>
      <c r="C86" s="9" t="inlineStr">
        <is>
          <t>81_HD</t>
        </is>
      </c>
      <c r="D86" s="9" t="inlineStr">
        <is>
          <t>SalesAmt_LOC</t>
        </is>
      </c>
      <c r="E86" s="9" t="inlineStr">
        <is>
          <t>-</t>
        </is>
      </c>
      <c r="F86" s="9" t="inlineStr">
        <is>
          <t>-</t>
        </is>
      </c>
      <c r="G86" s="9" t="inlineStr">
        <is>
          <t>Y</t>
        </is>
      </c>
      <c r="H86" s="9" t="inlineStr">
        <is>
          <t>Y</t>
        </is>
      </c>
    </row>
    <row r="87" ht="18" customHeight="1">
      <c r="A87" s="9" t="n">
        <v>49</v>
      </c>
      <c r="B87" s="9" t="inlineStr">
        <is>
          <t>SCM PI Admin</t>
        </is>
      </c>
      <c r="C87" s="9" t="inlineStr">
        <is>
          <t>81_HG</t>
        </is>
      </c>
      <c r="D87" s="9" t="inlineStr">
        <is>
          <t>SalesAmt_LOC</t>
        </is>
      </c>
      <c r="E87" s="9" t="inlineStr">
        <is>
          <t>-</t>
        </is>
      </c>
      <c r="F87" s="9" t="inlineStr">
        <is>
          <t>-</t>
        </is>
      </c>
      <c r="G87" s="9" t="inlineStr">
        <is>
          <t>Y</t>
        </is>
      </c>
      <c r="H87" s="9" t="inlineStr">
        <is>
          <t>Y</t>
        </is>
      </c>
    </row>
    <row r="88" ht="18" customHeight="1">
      <c r="A88" s="9" t="n">
        <v>50</v>
      </c>
      <c r="B88" s="9" t="inlineStr">
        <is>
          <t>SCM PI Admin</t>
        </is>
      </c>
      <c r="C88" s="9" t="inlineStr">
        <is>
          <t>81_HM</t>
        </is>
      </c>
      <c r="D88" s="9" t="inlineStr">
        <is>
          <t>SalesAmt_LOC</t>
        </is>
      </c>
      <c r="E88" s="9" t="inlineStr">
        <is>
          <t>-</t>
        </is>
      </c>
      <c r="F88" s="9" t="inlineStr">
        <is>
          <t>-</t>
        </is>
      </c>
      <c r="G88" s="9" t="inlineStr">
        <is>
          <t>Y</t>
        </is>
      </c>
      <c r="H88" s="9" t="inlineStr">
        <is>
          <t>Y</t>
        </is>
      </c>
    </row>
    <row r="89" ht="18" customHeight="1">
      <c r="A89" s="9" t="n">
        <v>51</v>
      </c>
      <c r="B89" s="9" t="inlineStr">
        <is>
          <t>SCM PI Admin</t>
        </is>
      </c>
      <c r="C89" s="9" t="inlineStr">
        <is>
          <t>81_ST</t>
        </is>
      </c>
      <c r="D89" s="9" t="inlineStr">
        <is>
          <t>SalesAmt_LOC</t>
        </is>
      </c>
      <c r="E89" s="9" t="inlineStr">
        <is>
          <t>-</t>
        </is>
      </c>
      <c r="F89" s="9" t="inlineStr">
        <is>
          <t>-</t>
        </is>
      </c>
      <c r="G89" s="9" t="inlineStr">
        <is>
          <t>Y</t>
        </is>
      </c>
      <c r="H89" s="9" t="inlineStr">
        <is>
          <t>Y</t>
        </is>
      </c>
    </row>
    <row r="90" ht="18" customHeight="1">
      <c r="A90" s="9" t="n">
        <v>52</v>
      </c>
      <c r="B90" s="9" t="inlineStr">
        <is>
          <t>SCM PI Admin</t>
        </is>
      </c>
      <c r="C90" s="9" t="inlineStr">
        <is>
          <t>81_UC</t>
        </is>
      </c>
      <c r="D90" s="9" t="inlineStr">
        <is>
          <t>SalesAmt_LOC</t>
        </is>
      </c>
      <c r="E90" s="9" t="inlineStr">
        <is>
          <t>-</t>
        </is>
      </c>
      <c r="F90" s="9" t="inlineStr">
        <is>
          <t>-</t>
        </is>
      </c>
      <c r="G90" s="9" t="inlineStr">
        <is>
          <t>Y</t>
        </is>
      </c>
      <c r="H90" s="9" t="inlineStr">
        <is>
          <t>Y</t>
        </is>
      </c>
    </row>
    <row r="91" ht="18" customHeight="1">
      <c r="A91" s="9" t="n">
        <v>53</v>
      </c>
      <c r="B91" s="9" t="inlineStr">
        <is>
          <t>SCM PI Admin</t>
        </is>
      </c>
      <c r="C91" s="9" t="inlineStr">
        <is>
          <t>82</t>
        </is>
      </c>
      <c r="D91" s="9" t="inlineStr">
        <is>
          <t>SalesAmt_LOC</t>
        </is>
      </c>
      <c r="E91" s="9" t="inlineStr">
        <is>
          <t>-</t>
        </is>
      </c>
      <c r="F91" s="9" t="inlineStr">
        <is>
          <t>-</t>
        </is>
      </c>
      <c r="G91" s="9" t="inlineStr">
        <is>
          <t>-</t>
        </is>
      </c>
      <c r="H91" s="9" t="inlineStr">
        <is>
          <t>Y</t>
        </is>
      </c>
    </row>
    <row r="93" ht="20" customHeight="1">
      <c r="A93" s="4" t="inlineStr">
        <is>
          <t>E. SHEET_COLUMNS 편집플래그 (PROGRAM_ID=DMF0021, 66행)</t>
        </is>
      </c>
    </row>
    <row r="94">
      <c r="A94" s="8" t="inlineStr">
        <is>
          <t>시트</t>
        </is>
      </c>
      <c r="B94" s="8" t="inlineStr">
        <is>
          <t>컬럼수</t>
        </is>
      </c>
      <c r="C94" s="8" t="inlineStr">
        <is>
          <t>INPUT_TP 분포</t>
        </is>
      </c>
      <c r="D94" s="8" t="inlineStr">
        <is>
          <t>편집가능 컬럼</t>
        </is>
      </c>
      <c r="E94" s="8" t="inlineStr"/>
      <c r="F94" s="8" t="inlineStr"/>
      <c r="G94" s="8" t="inlineStr"/>
      <c r="H94" s="8" t="inlineStr"/>
    </row>
    <row r="95" ht="45" customHeight="1">
      <c r="A95" s="9" t="inlineStr">
        <is>
          <t>Sales Plan</t>
        </is>
      </c>
      <c r="B95" s="9" t="n">
        <v>66</v>
      </c>
      <c r="C95" s="9" t="inlineStr">
        <is>
          <t>{"S": 66}</t>
        </is>
      </c>
      <c r="D95" s="9" t="inlineStr">
        <is>
          <t>없음 (전량 조회형 S — 편집은 메저 룩업으로 통제)</t>
        </is>
      </c>
      <c r="E95" s="9" t="inlineStr"/>
      <c r="F95" s="9" t="inlineStr"/>
      <c r="G95" s="9" t="inlineStr"/>
      <c r="H95" s="9" t="inlineStr"/>
    </row>
    <row r="97" ht="20" customHeight="1">
      <c r="A97" s="4" t="inlineStr">
        <is>
          <t>F. 참조 Lookup 전량 (DMF0021 SP 참조 LOOKUP_TYPE × 전체 코드행)</t>
        </is>
      </c>
    </row>
    <row r="98">
      <c r="A98" s="12" t="inlineStr">
        <is>
          <t>▣ GET_ADMIN_GROUP  (9행)</t>
        </is>
      </c>
    </row>
    <row r="99">
      <c r="A99" s="8" t="inlineStr">
        <is>
          <t>SEG1</t>
        </is>
      </c>
      <c r="B99" s="8" t="inlineStr">
        <is>
          <t>SEG2</t>
        </is>
      </c>
      <c r="C99" s="8" t="inlineStr">
        <is>
          <t>SEG3</t>
        </is>
      </c>
      <c r="D99" s="8" t="inlineStr">
        <is>
          <t>SEG4</t>
        </is>
      </c>
      <c r="E99" s="8" t="inlineStr">
        <is>
          <t>SEG5</t>
        </is>
      </c>
      <c r="F99" s="8" t="inlineStr">
        <is>
          <t>DESC</t>
        </is>
      </c>
      <c r="G99" s="8" t="inlineStr">
        <is>
          <t>ATTR1~2</t>
        </is>
      </c>
      <c r="H99" s="8" t="inlineStr">
        <is>
          <t>V</t>
        </is>
      </c>
    </row>
    <row r="100" ht="30" customHeight="1">
      <c r="A100" s="9" t="inlineStr">
        <is>
          <t>ADMIN</t>
        </is>
      </c>
      <c r="B100" s="9" t="inlineStr">
        <is>
          <t>ALL</t>
        </is>
      </c>
      <c r="C100" s="9" t="inlineStr">
        <is>
          <t>-</t>
        </is>
      </c>
      <c r="D100" s="9" t="inlineStr">
        <is>
          <t>-</t>
        </is>
      </c>
      <c r="E100" s="9" t="inlineStr">
        <is>
          <t>-</t>
        </is>
      </c>
      <c r="F100" s="9" t="inlineStr"/>
      <c r="G100" s="9" t="inlineStr">
        <is>
          <t xml:space="preserve">Y/ </t>
        </is>
      </c>
      <c r="H100" s="9" t="inlineStr">
        <is>
          <t>Y</t>
        </is>
      </c>
    </row>
    <row r="101" ht="30" customHeight="1">
      <c r="A101" s="9" t="inlineStr">
        <is>
          <t>DM ADMIN</t>
        </is>
      </c>
      <c r="B101" s="9" t="inlineStr">
        <is>
          <t>ALL</t>
        </is>
      </c>
      <c r="C101" s="9" t="inlineStr">
        <is>
          <t>-</t>
        </is>
      </c>
      <c r="D101" s="9" t="inlineStr">
        <is>
          <t>-</t>
        </is>
      </c>
      <c r="E101" s="9" t="inlineStr">
        <is>
          <t>-</t>
        </is>
      </c>
      <c r="F101" s="9" t="inlineStr"/>
      <c r="G101" s="9" t="inlineStr">
        <is>
          <t xml:space="preserve">Y/ </t>
        </is>
      </c>
      <c r="H101" s="9" t="inlineStr">
        <is>
          <t>Y</t>
        </is>
      </c>
    </row>
    <row r="102" ht="45" customHeight="1">
      <c r="A102" s="9" t="inlineStr">
        <is>
          <t>DM Planner</t>
        </is>
      </c>
      <c r="B102" s="9" t="inlineStr">
        <is>
          <t>ALL</t>
        </is>
      </c>
      <c r="C102" s="9" t="inlineStr">
        <is>
          <t>-</t>
        </is>
      </c>
      <c r="D102" s="9" t="inlineStr">
        <is>
          <t>-</t>
        </is>
      </c>
      <c r="E102" s="9" t="inlineStr">
        <is>
          <t>-</t>
        </is>
      </c>
      <c r="F102" s="9" t="inlineStr"/>
      <c r="G102" s="9" t="inlineStr">
        <is>
          <t xml:space="preserve"> / </t>
        </is>
      </c>
      <c r="H102" s="9" t="inlineStr">
        <is>
          <t>Y</t>
        </is>
      </c>
    </row>
    <row r="103" ht="45" customHeight="1">
      <c r="A103" s="9" t="inlineStr">
        <is>
          <t>DM Planner</t>
        </is>
      </c>
      <c r="B103" s="9" t="inlineStr">
        <is>
          <t>DMF000</t>
        </is>
      </c>
      <c r="C103" s="9" t="inlineStr">
        <is>
          <t>-</t>
        </is>
      </c>
      <c r="D103" s="9" t="inlineStr">
        <is>
          <t>-</t>
        </is>
      </c>
      <c r="E103" s="9" t="inlineStr">
        <is>
          <t>-</t>
        </is>
      </c>
      <c r="F103" s="9" t="inlineStr">
        <is>
          <t xml:space="preserve">Program_Id = 'DMF000' 인 경우 OWNER 조회 </t>
        </is>
      </c>
      <c r="G103" s="9" t="inlineStr">
        <is>
          <t xml:space="preserve">Y/ </t>
        </is>
      </c>
      <c r="H103" s="9" t="inlineStr">
        <is>
          <t>Y</t>
        </is>
      </c>
    </row>
    <row r="104" ht="60" customHeight="1">
      <c r="A104" s="9" t="inlineStr">
        <is>
          <t>DM Planner (W/S)</t>
        </is>
      </c>
      <c r="B104" s="9" t="inlineStr">
        <is>
          <t>DMF0003</t>
        </is>
      </c>
      <c r="C104" s="9" t="inlineStr">
        <is>
          <t>-</t>
        </is>
      </c>
      <c r="D104" s="9" t="inlineStr">
        <is>
          <t>-</t>
        </is>
      </c>
      <c r="E104" s="9" t="inlineStr">
        <is>
          <t>-</t>
        </is>
      </c>
      <c r="F104" s="9" t="inlineStr">
        <is>
          <t>Program_Id = 'DMF0003' 인 경우 MKT FCST</t>
        </is>
      </c>
      <c r="G104" s="9" t="inlineStr">
        <is>
          <t xml:space="preserve">Y/ </t>
        </is>
      </c>
      <c r="H104" s="9" t="inlineStr">
        <is>
          <t>Y</t>
        </is>
      </c>
    </row>
    <row r="105" ht="45" customHeight="1">
      <c r="A105" s="9" t="inlineStr">
        <is>
          <t>SCM PI Admin</t>
        </is>
      </c>
      <c r="B105" s="9" t="inlineStr">
        <is>
          <t>ALL</t>
        </is>
      </c>
      <c r="C105" s="9" t="inlineStr">
        <is>
          <t>-</t>
        </is>
      </c>
      <c r="D105" s="9" t="inlineStr">
        <is>
          <t>-</t>
        </is>
      </c>
      <c r="E105" s="9" t="inlineStr">
        <is>
          <t>-</t>
        </is>
      </c>
      <c r="F105" s="9" t="inlineStr"/>
      <c r="G105" s="9" t="inlineStr">
        <is>
          <t xml:space="preserve"> / </t>
        </is>
      </c>
      <c r="H105" s="9" t="inlineStr">
        <is>
          <t>Y</t>
        </is>
      </c>
    </row>
    <row r="106" ht="45" customHeight="1">
      <c r="A106" s="9" t="inlineStr">
        <is>
          <t>SCP Planner</t>
        </is>
      </c>
      <c r="B106" s="9" t="inlineStr">
        <is>
          <t>ALL</t>
        </is>
      </c>
      <c r="C106" s="9" t="inlineStr">
        <is>
          <t>-</t>
        </is>
      </c>
      <c r="D106" s="9" t="inlineStr">
        <is>
          <t>-</t>
        </is>
      </c>
      <c r="E106" s="9" t="inlineStr">
        <is>
          <t>-</t>
        </is>
      </c>
      <c r="F106" s="9" t="inlineStr"/>
      <c r="G106" s="9" t="inlineStr">
        <is>
          <t xml:space="preserve"> / </t>
        </is>
      </c>
      <c r="H106" s="9" t="inlineStr">
        <is>
          <t>Y</t>
        </is>
      </c>
    </row>
    <row r="107" ht="45" customHeight="1">
      <c r="A107" s="9" t="inlineStr">
        <is>
          <t>SCP Planner</t>
        </is>
      </c>
      <c r="B107" s="9" t="inlineStr">
        <is>
          <t>DMF0039</t>
        </is>
      </c>
      <c r="C107" s="9" t="inlineStr">
        <is>
          <t>-</t>
        </is>
      </c>
      <c r="D107" s="9" t="inlineStr">
        <is>
          <t>-</t>
        </is>
      </c>
      <c r="E107" s="9" t="inlineStr">
        <is>
          <t>-</t>
        </is>
      </c>
      <c r="F107" s="9" t="inlineStr">
        <is>
          <t>Program_Id = 'DMF0039' 인 경우 ESS_SHIP</t>
        </is>
      </c>
      <c r="G107" s="9" t="inlineStr">
        <is>
          <t xml:space="preserve"> / </t>
        </is>
      </c>
      <c r="H107" s="9" t="inlineStr">
        <is>
          <t>Y</t>
        </is>
      </c>
    </row>
    <row r="108" ht="45" customHeight="1">
      <c r="A108" s="9" t="inlineStr">
        <is>
          <t>minyonglee1</t>
        </is>
      </c>
      <c r="B108" s="9" t="inlineStr">
        <is>
          <t>ALL</t>
        </is>
      </c>
      <c r="C108" s="9" t="inlineStr">
        <is>
          <t>-</t>
        </is>
      </c>
      <c r="D108" s="9" t="inlineStr">
        <is>
          <t>-</t>
        </is>
      </c>
      <c r="E108" s="9" t="inlineStr">
        <is>
          <t>-</t>
        </is>
      </c>
      <c r="F108" s="9" t="inlineStr"/>
      <c r="G108" s="9" t="inlineStr"/>
      <c r="H108" s="9" t="inlineStr">
        <is>
          <t>Y</t>
        </is>
      </c>
    </row>
    <row r="110">
      <c r="A110" s="12" t="inlineStr">
        <is>
          <t>▣ DM_SALES_PLAN_MEASURE  (2행)</t>
        </is>
      </c>
    </row>
    <row r="111">
      <c r="A111" s="8" t="inlineStr">
        <is>
          <t>SEG1</t>
        </is>
      </c>
      <c r="B111" s="8" t="inlineStr">
        <is>
          <t>SEG2</t>
        </is>
      </c>
      <c r="C111" s="8" t="inlineStr">
        <is>
          <t>SEG3</t>
        </is>
      </c>
      <c r="D111" s="8" t="inlineStr">
        <is>
          <t>SEG4</t>
        </is>
      </c>
      <c r="E111" s="8" t="inlineStr">
        <is>
          <t>SEG5</t>
        </is>
      </c>
      <c r="F111" s="8" t="inlineStr">
        <is>
          <t>DESC</t>
        </is>
      </c>
      <c r="G111" s="8" t="inlineStr">
        <is>
          <t>ATTR1~2</t>
        </is>
      </c>
      <c r="H111" s="8" t="inlineStr">
        <is>
          <t>V</t>
        </is>
      </c>
    </row>
    <row r="112" ht="30" customHeight="1">
      <c r="A112" s="9" t="inlineStr">
        <is>
          <t>Catch_Up</t>
        </is>
      </c>
      <c r="B112" s="9" t="inlineStr">
        <is>
          <t>Catch-Up</t>
        </is>
      </c>
      <c r="C112" s="9" t="inlineStr">
        <is>
          <t>-</t>
        </is>
      </c>
      <c r="D112" s="9" t="inlineStr">
        <is>
          <t>-</t>
        </is>
      </c>
      <c r="E112" s="9" t="inlineStr">
        <is>
          <t>-</t>
        </is>
      </c>
      <c r="F112" s="9" t="inlineStr"/>
      <c r="G112" s="9" t="inlineStr">
        <is>
          <t xml:space="preserve"> / </t>
        </is>
      </c>
      <c r="H112" s="9" t="inlineStr">
        <is>
          <t>N</t>
        </is>
      </c>
    </row>
    <row r="113" ht="45" customHeight="1">
      <c r="A113" s="9" t="inlineStr">
        <is>
          <t>SalesAmt_LOC</t>
        </is>
      </c>
      <c r="B113" s="9" t="inlineStr">
        <is>
          <t>Sales Amt.(LOC)</t>
        </is>
      </c>
      <c r="C113" s="9" t="inlineStr">
        <is>
          <t>-</t>
        </is>
      </c>
      <c r="D113" s="9" t="inlineStr">
        <is>
          <t>-</t>
        </is>
      </c>
      <c r="E113" s="9" t="inlineStr">
        <is>
          <t>-</t>
        </is>
      </c>
      <c r="F113" s="9" t="inlineStr"/>
      <c r="G113" s="9" t="inlineStr">
        <is>
          <t xml:space="preserve"> / </t>
        </is>
      </c>
      <c r="H113" s="9" t="inlineStr">
        <is>
          <t>Y</t>
        </is>
      </c>
    </row>
    <row r="115">
      <c r="A115" s="12" t="inlineStr">
        <is>
          <t>▣ SALES_TYPE_CODE  (14행)</t>
        </is>
      </c>
    </row>
    <row r="116">
      <c r="A116" s="8" t="inlineStr">
        <is>
          <t>SEG1</t>
        </is>
      </c>
      <c r="B116" s="8" t="inlineStr">
        <is>
          <t>SEG2</t>
        </is>
      </c>
      <c r="C116" s="8" t="inlineStr">
        <is>
          <t>SEG3</t>
        </is>
      </c>
      <c r="D116" s="8" t="inlineStr">
        <is>
          <t>SEG4</t>
        </is>
      </c>
      <c r="E116" s="8" t="inlineStr">
        <is>
          <t>SEG5</t>
        </is>
      </c>
      <c r="F116" s="8" t="inlineStr">
        <is>
          <t>DESC</t>
        </is>
      </c>
      <c r="G116" s="8" t="inlineStr">
        <is>
          <t>ATTR1~2</t>
        </is>
      </c>
      <c r="H116" s="8" t="inlineStr">
        <is>
          <t>V</t>
        </is>
      </c>
    </row>
    <row r="117" ht="18" customHeight="1">
      <c r="A117" s="9" t="inlineStr">
        <is>
          <t>AS</t>
        </is>
      </c>
      <c r="B117" s="9" t="inlineStr">
        <is>
          <t>A/S(Chargeable)</t>
        </is>
      </c>
      <c r="C117" s="9" t="inlineStr">
        <is>
          <t>A/S</t>
        </is>
      </c>
      <c r="D117" s="9" t="inlineStr">
        <is>
          <t>-</t>
        </is>
      </c>
      <c r="E117" s="9" t="inlineStr">
        <is>
          <t>-</t>
        </is>
      </c>
      <c r="F117" s="9" t="inlineStr">
        <is>
          <t>A/S</t>
        </is>
      </c>
      <c r="G117" s="9" t="inlineStr">
        <is>
          <t>Y</t>
        </is>
      </c>
      <c r="H117" s="9" t="inlineStr">
        <is>
          <t>Y</t>
        </is>
      </c>
    </row>
    <row r="118" ht="18" customHeight="1">
      <c r="A118" s="9" t="inlineStr">
        <is>
          <t>ASF</t>
        </is>
      </c>
      <c r="B118" s="9" t="inlineStr">
        <is>
          <t>A/S(Free)</t>
        </is>
      </c>
      <c r="C118" s="9" t="inlineStr">
        <is>
          <t>A/S</t>
        </is>
      </c>
      <c r="D118" s="9" t="inlineStr">
        <is>
          <t>FREE</t>
        </is>
      </c>
      <c r="E118" s="9" t="inlineStr">
        <is>
          <t>-</t>
        </is>
      </c>
      <c r="F118" s="9" t="inlineStr">
        <is>
          <t>A/S</t>
        </is>
      </c>
      <c r="G118" s="9" t="inlineStr">
        <is>
          <t>Y</t>
        </is>
      </c>
      <c r="H118" s="9" t="inlineStr">
        <is>
          <t>Y</t>
        </is>
      </c>
    </row>
    <row r="119" ht="18" customHeight="1">
      <c r="A119" s="9" t="inlineStr">
        <is>
          <t>ETC</t>
        </is>
      </c>
      <c r="B119" s="9" t="inlineStr">
        <is>
          <t>ETC</t>
        </is>
      </c>
      <c r="C119" s="9" t="inlineStr">
        <is>
          <t>기타</t>
        </is>
      </c>
      <c r="D119" s="9" t="inlineStr">
        <is>
          <t>-</t>
        </is>
      </c>
      <c r="E119" s="9" t="inlineStr">
        <is>
          <t>-</t>
        </is>
      </c>
      <c r="F119" s="9" t="inlineStr">
        <is>
          <t>ETC</t>
        </is>
      </c>
      <c r="G119" s="9" t="inlineStr">
        <is>
          <t>N</t>
        </is>
      </c>
      <c r="H119" s="9" t="inlineStr">
        <is>
          <t>Y</t>
        </is>
      </c>
    </row>
    <row r="120" ht="18" customHeight="1">
      <c r="A120" s="9" t="inlineStr">
        <is>
          <t>MPS</t>
        </is>
      </c>
      <c r="B120" s="9" t="inlineStr">
        <is>
          <t>Mass</t>
        </is>
      </c>
      <c r="C120" s="9" t="inlineStr">
        <is>
          <t>양산</t>
        </is>
      </c>
      <c r="D120" s="9" t="inlineStr">
        <is>
          <t>-</t>
        </is>
      </c>
      <c r="E120" s="9" t="inlineStr">
        <is>
          <t>-</t>
        </is>
      </c>
      <c r="F120" s="9" t="inlineStr">
        <is>
          <t>Mass</t>
        </is>
      </c>
      <c r="G120" s="9" t="inlineStr">
        <is>
          <t>Y</t>
        </is>
      </c>
      <c r="H120" s="9" t="inlineStr">
        <is>
          <t>Y</t>
        </is>
      </c>
    </row>
    <row r="121" ht="18" customHeight="1">
      <c r="A121" s="9" t="inlineStr">
        <is>
          <t>RMA</t>
        </is>
      </c>
      <c r="B121" s="9" t="inlineStr">
        <is>
          <t>RMA</t>
        </is>
      </c>
      <c r="C121" s="9" t="inlineStr">
        <is>
          <t>반품</t>
        </is>
      </c>
      <c r="D121" s="9" t="inlineStr">
        <is>
          <t>-</t>
        </is>
      </c>
      <c r="E121" s="9" t="inlineStr">
        <is>
          <t>-</t>
        </is>
      </c>
      <c r="F121" s="9" t="inlineStr">
        <is>
          <t>RMA</t>
        </is>
      </c>
      <c r="G121" s="9" t="inlineStr">
        <is>
          <t>Y</t>
        </is>
      </c>
      <c r="H121" s="9" t="inlineStr">
        <is>
          <t>Y</t>
        </is>
      </c>
    </row>
    <row r="122" ht="30" customHeight="1">
      <c r="A122" s="9" t="inlineStr">
        <is>
          <t>Recall</t>
        </is>
      </c>
      <c r="B122" s="9" t="inlineStr">
        <is>
          <t>Recall</t>
        </is>
      </c>
      <c r="C122" s="9" t="inlineStr">
        <is>
          <t>Recall</t>
        </is>
      </c>
      <c r="D122" s="9" t="inlineStr">
        <is>
          <t>-</t>
        </is>
      </c>
      <c r="E122" s="9" t="inlineStr">
        <is>
          <t>-</t>
        </is>
      </c>
      <c r="F122" s="9" t="inlineStr">
        <is>
          <t>Recall[E20250428-000097]</t>
        </is>
      </c>
      <c r="G122" s="9" t="inlineStr">
        <is>
          <t>Y</t>
        </is>
      </c>
      <c r="H122" s="9" t="inlineStr">
        <is>
          <t>Y</t>
        </is>
      </c>
    </row>
    <row r="123" ht="30" customHeight="1">
      <c r="A123" s="9" t="inlineStr">
        <is>
          <t>SDC</t>
        </is>
      </c>
      <c r="B123" s="9" t="inlineStr">
        <is>
          <t>Sample(Dev/Chargeable)</t>
        </is>
      </c>
      <c r="C123" s="9" t="inlineStr">
        <is>
          <t>샘플</t>
        </is>
      </c>
      <c r="D123" s="9" t="inlineStr">
        <is>
          <t>-</t>
        </is>
      </c>
      <c r="E123" s="9" t="inlineStr">
        <is>
          <t>-</t>
        </is>
      </c>
      <c r="F123" s="9" t="inlineStr">
        <is>
          <t>Sample(Dev/Chargeable)</t>
        </is>
      </c>
      <c r="G123" s="9" t="inlineStr">
        <is>
          <t>Y</t>
        </is>
      </c>
      <c r="H123" s="9" t="inlineStr">
        <is>
          <t>Y</t>
        </is>
      </c>
    </row>
    <row r="124" ht="18" customHeight="1">
      <c r="A124" s="9" t="inlineStr">
        <is>
          <t>SDF</t>
        </is>
      </c>
      <c r="B124" s="9" t="inlineStr">
        <is>
          <t>Sample(Dev/Free)</t>
        </is>
      </c>
      <c r="C124" s="9" t="inlineStr">
        <is>
          <t>샘플</t>
        </is>
      </c>
      <c r="D124" s="9" t="inlineStr">
        <is>
          <t>FREE</t>
        </is>
      </c>
      <c r="E124" s="9" t="inlineStr">
        <is>
          <t>-</t>
        </is>
      </c>
      <c r="F124" s="9" t="inlineStr">
        <is>
          <t>Sample(Dev/Free)</t>
        </is>
      </c>
      <c r="G124" s="9" t="inlineStr">
        <is>
          <t>Y</t>
        </is>
      </c>
      <c r="H124" s="9" t="inlineStr">
        <is>
          <t>Y</t>
        </is>
      </c>
    </row>
    <row r="125" ht="30" customHeight="1">
      <c r="A125" s="9" t="inlineStr">
        <is>
          <t>SMC</t>
        </is>
      </c>
      <c r="B125" s="9" t="inlineStr">
        <is>
          <t>Sample(Mass/Chargeable)</t>
        </is>
      </c>
      <c r="C125" s="9" t="inlineStr">
        <is>
          <t>샘플</t>
        </is>
      </c>
      <c r="D125" s="9" t="inlineStr">
        <is>
          <t>-</t>
        </is>
      </c>
      <c r="E125" s="9" t="inlineStr">
        <is>
          <t>-</t>
        </is>
      </c>
      <c r="F125" s="9" t="inlineStr">
        <is>
          <t>Sample(Mass/Chargeable)</t>
        </is>
      </c>
      <c r="G125" s="9" t="inlineStr">
        <is>
          <t>Y</t>
        </is>
      </c>
      <c r="H125" s="9" t="inlineStr">
        <is>
          <t>Y</t>
        </is>
      </c>
    </row>
    <row r="126" ht="18" customHeight="1">
      <c r="A126" s="9" t="inlineStr">
        <is>
          <t>SMF</t>
        </is>
      </c>
      <c r="B126" s="9" t="inlineStr">
        <is>
          <t>Sample(Mass/Free)</t>
        </is>
      </c>
      <c r="C126" s="9" t="inlineStr">
        <is>
          <t>샘플</t>
        </is>
      </c>
      <c r="D126" s="9" t="inlineStr">
        <is>
          <t>FREE</t>
        </is>
      </c>
      <c r="E126" s="9" t="inlineStr">
        <is>
          <t>-</t>
        </is>
      </c>
      <c r="F126" s="9" t="inlineStr">
        <is>
          <t>Sample(Mass/Free)</t>
        </is>
      </c>
      <c r="G126" s="9" t="inlineStr">
        <is>
          <t>Y</t>
        </is>
      </c>
      <c r="H126" s="9" t="inlineStr">
        <is>
          <t>Y</t>
        </is>
      </c>
    </row>
    <row r="127" ht="18" customHeight="1">
      <c r="A127" s="9" t="inlineStr">
        <is>
          <t>SPF</t>
        </is>
      </c>
      <c r="B127" s="9" t="inlineStr">
        <is>
          <t>Spare Parts(FREE)</t>
        </is>
      </c>
      <c r="C127" s="9" t="inlineStr">
        <is>
          <t>Spare Parts(FREE)</t>
        </is>
      </c>
      <c r="D127" s="9" t="inlineStr">
        <is>
          <t>FREE</t>
        </is>
      </c>
      <c r="E127" s="9" t="inlineStr">
        <is>
          <t>-</t>
        </is>
      </c>
      <c r="F127" s="9" t="inlineStr">
        <is>
          <t>Spare Parts(FREE)</t>
        </is>
      </c>
      <c r="G127" s="9" t="inlineStr">
        <is>
          <t>Y</t>
        </is>
      </c>
      <c r="H127" s="9" t="inlineStr">
        <is>
          <t>Y</t>
        </is>
      </c>
    </row>
    <row r="128" ht="18" customHeight="1">
      <c r="A128" s="9" t="inlineStr">
        <is>
          <t>TST</t>
        </is>
      </c>
      <c r="B128" s="9" t="inlineStr">
        <is>
          <t>Internal Test</t>
        </is>
      </c>
      <c r="C128" s="9" t="inlineStr">
        <is>
          <t>-</t>
        </is>
      </c>
      <c r="D128" s="9" t="inlineStr">
        <is>
          <t>FREE</t>
        </is>
      </c>
      <c r="E128" s="9" t="inlineStr">
        <is>
          <t>-</t>
        </is>
      </c>
      <c r="F128" s="9" t="inlineStr">
        <is>
          <t>Test</t>
        </is>
      </c>
      <c r="G128" s="9" t="inlineStr">
        <is>
          <t>Y</t>
        </is>
      </c>
      <c r="H128" s="9" t="inlineStr">
        <is>
          <t>Y</t>
        </is>
      </c>
    </row>
    <row r="129" ht="18" customHeight="1">
      <c r="A129" s="9" t="inlineStr">
        <is>
          <t>WS</t>
        </is>
      </c>
      <c r="B129" s="9" t="inlineStr">
        <is>
          <t>WS(Chargeable)</t>
        </is>
      </c>
      <c r="C129" s="9" t="inlineStr">
        <is>
          <t>W/S</t>
        </is>
      </c>
      <c r="D129" s="9" t="inlineStr">
        <is>
          <t>-</t>
        </is>
      </c>
      <c r="E129" s="9" t="inlineStr">
        <is>
          <t>-</t>
        </is>
      </c>
      <c r="F129" s="9" t="inlineStr">
        <is>
          <t>WS팀 전용</t>
        </is>
      </c>
      <c r="G129" s="9" t="inlineStr">
        <is>
          <t>N/Y</t>
        </is>
      </c>
      <c r="H129" s="9" t="inlineStr">
        <is>
          <t>Y</t>
        </is>
      </c>
    </row>
    <row r="130" ht="18" customHeight="1">
      <c r="A130" s="9" t="inlineStr">
        <is>
          <t>WSF</t>
        </is>
      </c>
      <c r="B130" s="9" t="inlineStr">
        <is>
          <t>WS(Free)</t>
        </is>
      </c>
      <c r="C130" s="9" t="inlineStr">
        <is>
          <t>W/S</t>
        </is>
      </c>
      <c r="D130" s="9" t="inlineStr">
        <is>
          <t>FREE</t>
        </is>
      </c>
      <c r="E130" s="9" t="inlineStr">
        <is>
          <t>-</t>
        </is>
      </c>
      <c r="F130" s="9" t="inlineStr">
        <is>
          <t>WS팀 전용</t>
        </is>
      </c>
      <c r="G130" s="9" t="inlineStr">
        <is>
          <t>N/Y</t>
        </is>
      </c>
      <c r="H130" s="9" t="inlineStr">
        <is>
          <t>Y</t>
        </is>
      </c>
    </row>
    <row r="132">
      <c r="A132" s="12" t="inlineStr">
        <is>
          <t>▣ MKT_FCST_VALIDATION_PRICE  (11행)</t>
        </is>
      </c>
    </row>
    <row r="133">
      <c r="A133" s="8" t="inlineStr">
        <is>
          <t>SEG1</t>
        </is>
      </c>
      <c r="B133" s="8" t="inlineStr">
        <is>
          <t>SEG2</t>
        </is>
      </c>
      <c r="C133" s="8" t="inlineStr">
        <is>
          <t>SEG3</t>
        </is>
      </c>
      <c r="D133" s="8" t="inlineStr">
        <is>
          <t>SEG4</t>
        </is>
      </c>
      <c r="E133" s="8" t="inlineStr">
        <is>
          <t>SEG5</t>
        </is>
      </c>
      <c r="F133" s="8" t="inlineStr">
        <is>
          <t>DESC</t>
        </is>
      </c>
      <c r="G133" s="8" t="inlineStr">
        <is>
          <t>ATTR1~2</t>
        </is>
      </c>
      <c r="H133" s="8" t="inlineStr">
        <is>
          <t>V</t>
        </is>
      </c>
    </row>
    <row r="134" ht="30" customHeight="1">
      <c r="A134" s="9" t="inlineStr">
        <is>
          <t>FCST_TYPE</t>
        </is>
      </c>
      <c r="B134" s="9" t="inlineStr">
        <is>
          <t>ASF</t>
        </is>
      </c>
      <c r="C134" s="9" t="inlineStr">
        <is>
          <t>A/S(Free)</t>
        </is>
      </c>
      <c r="D134" s="9" t="inlineStr">
        <is>
          <t>-</t>
        </is>
      </c>
      <c r="E134" s="9" t="inlineStr">
        <is>
          <t>-</t>
        </is>
      </c>
      <c r="F134" s="9" t="inlineStr"/>
      <c r="G134" s="9" t="inlineStr">
        <is>
          <t xml:space="preserve"> / </t>
        </is>
      </c>
      <c r="H134" s="9" t="inlineStr">
        <is>
          <t>Y</t>
        </is>
      </c>
    </row>
    <row r="135" ht="30" customHeight="1">
      <c r="A135" s="9" t="inlineStr">
        <is>
          <t>FCST_TYPE</t>
        </is>
      </c>
      <c r="B135" s="9" t="inlineStr">
        <is>
          <t>SDF</t>
        </is>
      </c>
      <c r="C135" s="9" t="inlineStr">
        <is>
          <t>Sample(Dev/Free)</t>
        </is>
      </c>
      <c r="D135" s="9" t="inlineStr">
        <is>
          <t>-</t>
        </is>
      </c>
      <c r="E135" s="9" t="inlineStr">
        <is>
          <t>-</t>
        </is>
      </c>
      <c r="F135" s="9" t="inlineStr"/>
      <c r="G135" s="9" t="inlineStr">
        <is>
          <t xml:space="preserve"> / </t>
        </is>
      </c>
      <c r="H135" s="9" t="inlineStr">
        <is>
          <t>Y</t>
        </is>
      </c>
    </row>
    <row r="136" ht="30" customHeight="1">
      <c r="A136" s="9" t="inlineStr">
        <is>
          <t>FCST_TYPE</t>
        </is>
      </c>
      <c r="B136" s="9" t="inlineStr">
        <is>
          <t>SMC</t>
        </is>
      </c>
      <c r="C136" s="9" t="inlineStr">
        <is>
          <t>Sample(Mass/Chargeable)</t>
        </is>
      </c>
      <c r="D136" s="9" t="inlineStr">
        <is>
          <t>-</t>
        </is>
      </c>
      <c r="E136" s="9" t="inlineStr">
        <is>
          <t>-</t>
        </is>
      </c>
      <c r="F136" s="9" t="inlineStr">
        <is>
          <t>SSP 장애로 임시 등록</t>
        </is>
      </c>
      <c r="G136" s="9" t="inlineStr">
        <is>
          <t xml:space="preserve"> / </t>
        </is>
      </c>
      <c r="H136" s="9" t="inlineStr">
        <is>
          <t>N</t>
        </is>
      </c>
    </row>
    <row r="137" ht="30" customHeight="1">
      <c r="A137" s="9" t="inlineStr">
        <is>
          <t>FCST_TYPE</t>
        </is>
      </c>
      <c r="B137" s="9" t="inlineStr">
        <is>
          <t>SMF</t>
        </is>
      </c>
      <c r="C137" s="9" t="inlineStr">
        <is>
          <t>Sample(Mass/Free)</t>
        </is>
      </c>
      <c r="D137" s="9" t="inlineStr">
        <is>
          <t>-</t>
        </is>
      </c>
      <c r="E137" s="9" t="inlineStr">
        <is>
          <t>-</t>
        </is>
      </c>
      <c r="F137" s="9" t="inlineStr"/>
      <c r="G137" s="9" t="inlineStr">
        <is>
          <t xml:space="preserve"> / </t>
        </is>
      </c>
      <c r="H137" s="9" t="inlineStr">
        <is>
          <t>Y</t>
        </is>
      </c>
    </row>
    <row r="138" ht="30" customHeight="1">
      <c r="A138" s="9" t="inlineStr">
        <is>
          <t>FCST_TYPE</t>
        </is>
      </c>
      <c r="B138" s="9" t="inlineStr">
        <is>
          <t>SPF</t>
        </is>
      </c>
      <c r="C138" s="9" t="inlineStr">
        <is>
          <t>SPF</t>
        </is>
      </c>
      <c r="D138" s="9" t="inlineStr">
        <is>
          <t>-</t>
        </is>
      </c>
      <c r="E138" s="9" t="inlineStr">
        <is>
          <t>-</t>
        </is>
      </c>
      <c r="F138" s="9" t="inlineStr"/>
      <c r="G138" s="9" t="inlineStr">
        <is>
          <t xml:space="preserve"> / </t>
        </is>
      </c>
      <c r="H138" s="9" t="inlineStr">
        <is>
          <t>Y</t>
        </is>
      </c>
    </row>
    <row r="139" ht="30" customHeight="1">
      <c r="A139" s="9" t="inlineStr">
        <is>
          <t>FCST_TYPE</t>
        </is>
      </c>
      <c r="B139" s="9" t="inlineStr">
        <is>
          <t>TST</t>
        </is>
      </c>
      <c r="C139" s="9" t="inlineStr">
        <is>
          <t>Internal Test</t>
        </is>
      </c>
      <c r="D139" s="9" t="inlineStr">
        <is>
          <t>-</t>
        </is>
      </c>
      <c r="E139" s="9" t="inlineStr">
        <is>
          <t>-</t>
        </is>
      </c>
      <c r="F139" s="9" t="inlineStr"/>
      <c r="G139" s="9" t="inlineStr">
        <is>
          <t xml:space="preserve"> / </t>
        </is>
      </c>
      <c r="H139" s="9" t="inlineStr">
        <is>
          <t>Y</t>
        </is>
      </c>
    </row>
    <row r="140" ht="30" customHeight="1">
      <c r="A140" s="9" t="inlineStr">
        <is>
          <t>FCST_TYPE</t>
        </is>
      </c>
      <c r="B140" s="9" t="inlineStr">
        <is>
          <t>WSF</t>
        </is>
      </c>
      <c r="C140" s="9" t="inlineStr">
        <is>
          <t>WS(Free)</t>
        </is>
      </c>
      <c r="D140" s="9" t="inlineStr">
        <is>
          <t>-</t>
        </is>
      </c>
      <c r="E140" s="9" t="inlineStr">
        <is>
          <t>-</t>
        </is>
      </c>
      <c r="F140" s="9" t="inlineStr"/>
      <c r="G140" s="9" t="inlineStr">
        <is>
          <t xml:space="preserve"> / </t>
        </is>
      </c>
      <c r="H140" s="9" t="inlineStr">
        <is>
          <t>Y</t>
        </is>
      </c>
    </row>
    <row r="141" ht="30" customHeight="1">
      <c r="A141" s="9" t="inlineStr">
        <is>
          <t>MEASURE</t>
        </is>
      </c>
      <c r="B141" s="9" t="inlineStr">
        <is>
          <t>MKT_FCST</t>
        </is>
      </c>
      <c r="C141" s="9" t="inlineStr">
        <is>
          <t>MKT FCST[R+P]</t>
        </is>
      </c>
      <c r="D141" s="9" t="inlineStr">
        <is>
          <t>-</t>
        </is>
      </c>
      <c r="E141" s="9" t="inlineStr">
        <is>
          <t>-</t>
        </is>
      </c>
      <c r="F141" s="9" t="inlineStr"/>
      <c r="G141" s="9" t="inlineStr">
        <is>
          <t xml:space="preserve"> / </t>
        </is>
      </c>
      <c r="H141" s="9" t="inlineStr">
        <is>
          <t>Y</t>
        </is>
      </c>
    </row>
    <row r="142" ht="30" customHeight="1">
      <c r="A142" s="9" t="inlineStr">
        <is>
          <t>MEASURE</t>
        </is>
      </c>
      <c r="B142" s="9" t="inlineStr">
        <is>
          <t>RTF</t>
        </is>
      </c>
      <c r="C142" s="9" t="inlineStr">
        <is>
          <t>RTF_MKT[R+P]</t>
        </is>
      </c>
      <c r="D142" s="9" t="inlineStr">
        <is>
          <t>-</t>
        </is>
      </c>
      <c r="E142" s="9" t="inlineStr">
        <is>
          <t>-</t>
        </is>
      </c>
      <c r="F142" s="9" t="inlineStr"/>
      <c r="G142" s="9" t="inlineStr">
        <is>
          <t xml:space="preserve"> / </t>
        </is>
      </c>
      <c r="H142" s="9" t="inlineStr">
        <is>
          <t>Y</t>
        </is>
      </c>
    </row>
    <row r="143" ht="30" customHeight="1">
      <c r="A143" s="9" t="inlineStr">
        <is>
          <t>MEASURE</t>
        </is>
      </c>
      <c r="B143" s="9" t="inlineStr">
        <is>
          <t>SCM_FCST</t>
        </is>
      </c>
      <c r="C143" s="9" t="inlineStr">
        <is>
          <t>SCM_FCST</t>
        </is>
      </c>
      <c r="D143" s="9" t="inlineStr">
        <is>
          <t>-</t>
        </is>
      </c>
      <c r="E143" s="9" t="inlineStr">
        <is>
          <t>-</t>
        </is>
      </c>
      <c r="F143" s="9" t="inlineStr"/>
      <c r="G143" s="9" t="inlineStr">
        <is>
          <t xml:space="preserve"> / </t>
        </is>
      </c>
      <c r="H143" s="9" t="inlineStr">
        <is>
          <t>Y</t>
        </is>
      </c>
    </row>
    <row r="144" ht="30" customHeight="1">
      <c r="A144" s="9" t="inlineStr">
        <is>
          <t>MEASURE</t>
        </is>
      </c>
      <c r="B144" s="9" t="inlineStr">
        <is>
          <t>VMI_In_Req</t>
        </is>
      </c>
      <c r="C144" s="9" t="inlineStr">
        <is>
          <t>VMI-In Request[R+P]</t>
        </is>
      </c>
      <c r="D144" s="9" t="inlineStr">
        <is>
          <t>-</t>
        </is>
      </c>
      <c r="E144" s="9" t="inlineStr">
        <is>
          <t>-</t>
        </is>
      </c>
      <c r="F144" s="9" t="inlineStr"/>
      <c r="G144" s="9" t="inlineStr">
        <is>
          <t xml:space="preserve"> / </t>
        </is>
      </c>
      <c r="H144" s="9" t="inlineStr">
        <is>
          <t>Y</t>
        </is>
      </c>
    </row>
    <row r="146">
      <c r="A146" s="12" t="inlineStr">
        <is>
          <t>▣ SALES_PLAN_CATCHUP  (4행)</t>
        </is>
      </c>
    </row>
    <row r="147">
      <c r="A147" s="8" t="inlineStr">
        <is>
          <t>SEG1</t>
        </is>
      </c>
      <c r="B147" s="8" t="inlineStr">
        <is>
          <t>SEG2</t>
        </is>
      </c>
      <c r="C147" s="8" t="inlineStr">
        <is>
          <t>SEG3</t>
        </is>
      </c>
      <c r="D147" s="8" t="inlineStr">
        <is>
          <t>SEG4</t>
        </is>
      </c>
      <c r="E147" s="8" t="inlineStr">
        <is>
          <t>SEG5</t>
        </is>
      </c>
      <c r="F147" s="8" t="inlineStr">
        <is>
          <t>DESC</t>
        </is>
      </c>
      <c r="G147" s="8" t="inlineStr">
        <is>
          <t>ATTR1~2</t>
        </is>
      </c>
      <c r="H147" s="8" t="inlineStr">
        <is>
          <t>V</t>
        </is>
      </c>
    </row>
    <row r="148" ht="18" customHeight="1">
      <c r="A148" s="9" t="inlineStr">
        <is>
          <t>40</t>
        </is>
      </c>
      <c r="B148" s="9" t="inlineStr">
        <is>
          <t>Catch_Up</t>
        </is>
      </c>
      <c r="C148" s="9" t="inlineStr">
        <is>
          <t>Catch_Up</t>
        </is>
      </c>
      <c r="D148" s="9" t="inlineStr">
        <is>
          <t>-</t>
        </is>
      </c>
      <c r="E148" s="9" t="inlineStr">
        <is>
          <t>-</t>
        </is>
      </c>
      <c r="F148" s="9" t="inlineStr"/>
      <c r="G148" s="9" t="inlineStr">
        <is>
          <t xml:space="preserve"> / </t>
        </is>
      </c>
      <c r="H148" s="9" t="inlineStr">
        <is>
          <t>Y</t>
        </is>
      </c>
    </row>
    <row r="149" ht="18" customHeight="1">
      <c r="A149" s="9" t="inlineStr">
        <is>
          <t>40</t>
        </is>
      </c>
      <c r="B149" s="9" t="inlineStr">
        <is>
          <t>SalesAmt_KRW_Catch_Up</t>
        </is>
      </c>
      <c r="C149" s="9" t="inlineStr">
        <is>
          <t>SalesAmt_KRW_Catch_Up</t>
        </is>
      </c>
      <c r="D149" s="9" t="inlineStr">
        <is>
          <t>-</t>
        </is>
      </c>
      <c r="E149" s="9" t="inlineStr">
        <is>
          <t>-</t>
        </is>
      </c>
      <c r="F149" s="9" t="inlineStr"/>
      <c r="G149" s="9" t="inlineStr">
        <is>
          <t xml:space="preserve"> / </t>
        </is>
      </c>
      <c r="H149" s="9" t="inlineStr">
        <is>
          <t>Y</t>
        </is>
      </c>
    </row>
    <row r="150" ht="18" customHeight="1">
      <c r="A150" s="9" t="inlineStr">
        <is>
          <t>40</t>
        </is>
      </c>
      <c r="B150" s="9" t="inlineStr">
        <is>
          <t>SalesAmt_LOC_Catch_Up</t>
        </is>
      </c>
      <c r="C150" s="9" t="inlineStr">
        <is>
          <t>SalesAmt_LOC_Catch_Up</t>
        </is>
      </c>
      <c r="D150" s="9" t="inlineStr">
        <is>
          <t>-</t>
        </is>
      </c>
      <c r="E150" s="9" t="inlineStr">
        <is>
          <t>-</t>
        </is>
      </c>
      <c r="F150" s="9" t="inlineStr"/>
      <c r="G150" s="9" t="inlineStr">
        <is>
          <t xml:space="preserve"> / </t>
        </is>
      </c>
      <c r="H150" s="9" t="inlineStr">
        <is>
          <t>Y</t>
        </is>
      </c>
    </row>
    <row r="151" ht="18" customHeight="1">
      <c r="A151" s="9" t="inlineStr">
        <is>
          <t>40</t>
        </is>
      </c>
      <c r="B151" s="9" t="inlineStr">
        <is>
          <t>SalesAmt_USD_Catch_Up</t>
        </is>
      </c>
      <c r="C151" s="9" t="inlineStr">
        <is>
          <t>SalesAmt_USD_Catch_Up</t>
        </is>
      </c>
      <c r="D151" s="9" t="inlineStr">
        <is>
          <t>-</t>
        </is>
      </c>
      <c r="E151" s="9" t="inlineStr">
        <is>
          <t>-</t>
        </is>
      </c>
      <c r="F151" s="9" t="inlineStr"/>
      <c r="G151" s="9" t="inlineStr">
        <is>
          <t xml:space="preserve"> / </t>
        </is>
      </c>
      <c r="H151" s="9" t="inlineStr">
        <is>
          <t>Y</t>
        </is>
      </c>
    </row>
    <row r="153">
      <c r="A153" s="12" t="inlineStr">
        <is>
          <t>▣ DM_SALES_PLAN_WATERFALL_SP_W_ADD  (32행)</t>
        </is>
      </c>
    </row>
    <row r="154">
      <c r="A154" s="8" t="inlineStr">
        <is>
          <t>SEG1</t>
        </is>
      </c>
      <c r="B154" s="8" t="inlineStr">
        <is>
          <t>SEG2</t>
        </is>
      </c>
      <c r="C154" s="8" t="inlineStr">
        <is>
          <t>SEG3</t>
        </is>
      </c>
      <c r="D154" s="8" t="inlineStr">
        <is>
          <t>SEG4</t>
        </is>
      </c>
      <c r="E154" s="8" t="inlineStr">
        <is>
          <t>SEG5</t>
        </is>
      </c>
      <c r="F154" s="8" t="inlineStr">
        <is>
          <t>DESC</t>
        </is>
      </c>
      <c r="G154" s="8" t="inlineStr">
        <is>
          <t>ATTR1~2</t>
        </is>
      </c>
      <c r="H154" s="8" t="inlineStr">
        <is>
          <t>V</t>
        </is>
      </c>
    </row>
    <row r="155" ht="18" customHeight="1">
      <c r="A155" s="9" t="inlineStr">
        <is>
          <t>40</t>
        </is>
      </c>
      <c r="B155" s="9" t="inlineStr">
        <is>
          <t>ETC</t>
        </is>
      </c>
      <c r="C155" s="9" t="inlineStr">
        <is>
          <t>ETC</t>
        </is>
      </c>
      <c r="D155" s="9" t="inlineStr">
        <is>
          <t>-</t>
        </is>
      </c>
      <c r="E155" s="9" t="inlineStr">
        <is>
          <t>-</t>
        </is>
      </c>
      <c r="F155" s="9" t="inlineStr"/>
      <c r="G155" s="9" t="inlineStr">
        <is>
          <t xml:space="preserve"> / </t>
        </is>
      </c>
      <c r="H155" s="9" t="inlineStr">
        <is>
          <t>Y</t>
        </is>
      </c>
    </row>
    <row r="156" ht="18" customHeight="1">
      <c r="A156" s="9" t="inlineStr">
        <is>
          <t>40</t>
        </is>
      </c>
      <c r="B156" s="9" t="inlineStr">
        <is>
          <t>ETC</t>
        </is>
      </c>
      <c r="C156" s="9" t="inlineStr">
        <is>
          <t>ETC_C</t>
        </is>
      </c>
      <c r="D156" s="9" t="inlineStr">
        <is>
          <t>-</t>
        </is>
      </c>
      <c r="E156" s="9" t="inlineStr">
        <is>
          <t>-</t>
        </is>
      </c>
      <c r="F156" s="9" t="inlineStr"/>
      <c r="G156" s="9" t="inlineStr">
        <is>
          <t xml:space="preserve"> / </t>
        </is>
      </c>
      <c r="H156" s="9" t="inlineStr">
        <is>
          <t>Y</t>
        </is>
      </c>
    </row>
    <row r="157" ht="18" customHeight="1">
      <c r="A157" s="9" t="inlineStr">
        <is>
          <t>40</t>
        </is>
      </c>
      <c r="B157" s="9" t="inlineStr">
        <is>
          <t>ETC</t>
        </is>
      </c>
      <c r="C157" s="9" t="inlineStr">
        <is>
          <t>ETC_P</t>
        </is>
      </c>
      <c r="D157" s="9" t="inlineStr">
        <is>
          <t>-</t>
        </is>
      </c>
      <c r="E157" s="9" t="inlineStr">
        <is>
          <t>-</t>
        </is>
      </c>
      <c r="F157" s="9" t="inlineStr"/>
      <c r="G157" s="9" t="inlineStr">
        <is>
          <t xml:space="preserve"> / </t>
        </is>
      </c>
      <c r="H157" s="9" t="inlineStr">
        <is>
          <t>Y</t>
        </is>
      </c>
    </row>
    <row r="158" ht="18" customHeight="1">
      <c r="A158" s="9" t="inlineStr">
        <is>
          <t>40</t>
        </is>
      </c>
      <c r="B158" s="9" t="inlineStr">
        <is>
          <t>ETC</t>
        </is>
      </c>
      <c r="C158" s="9" t="inlineStr">
        <is>
          <t>ETC_R</t>
        </is>
      </c>
      <c r="D158" s="9" t="inlineStr">
        <is>
          <t>-</t>
        </is>
      </c>
      <c r="E158" s="9" t="inlineStr">
        <is>
          <t>-</t>
        </is>
      </c>
      <c r="F158" s="9" t="inlineStr"/>
      <c r="G158" s="9" t="inlineStr">
        <is>
          <t xml:space="preserve"> / </t>
        </is>
      </c>
      <c r="H158" s="9" t="inlineStr">
        <is>
          <t>Y</t>
        </is>
      </c>
    </row>
    <row r="159" ht="18" customHeight="1">
      <c r="A159" s="9" t="inlineStr">
        <is>
          <t>40</t>
        </is>
      </c>
      <c r="B159" s="9" t="inlineStr">
        <is>
          <t>ETC</t>
        </is>
      </c>
      <c r="C159" s="9" t="inlineStr">
        <is>
          <t>MDF_C</t>
        </is>
      </c>
      <c r="D159" s="9" t="inlineStr">
        <is>
          <t>-</t>
        </is>
      </c>
      <c r="E159" s="9" t="inlineStr">
        <is>
          <t>-</t>
        </is>
      </c>
      <c r="F159" s="9" t="inlineStr"/>
      <c r="G159" s="9" t="inlineStr">
        <is>
          <t xml:space="preserve"> / </t>
        </is>
      </c>
      <c r="H159" s="9" t="inlineStr">
        <is>
          <t>Y</t>
        </is>
      </c>
    </row>
    <row r="160" ht="18" customHeight="1">
      <c r="A160" s="9" t="inlineStr">
        <is>
          <t>40</t>
        </is>
      </c>
      <c r="B160" s="9" t="inlineStr">
        <is>
          <t>ETC</t>
        </is>
      </c>
      <c r="C160" s="9" t="inlineStr">
        <is>
          <t>MDF_P</t>
        </is>
      </c>
      <c r="D160" s="9" t="inlineStr">
        <is>
          <t>-</t>
        </is>
      </c>
      <c r="E160" s="9" t="inlineStr">
        <is>
          <t>-</t>
        </is>
      </c>
      <c r="F160" s="9" t="inlineStr"/>
      <c r="G160" s="9" t="inlineStr">
        <is>
          <t xml:space="preserve"> / </t>
        </is>
      </c>
      <c r="H160" s="9" t="inlineStr">
        <is>
          <t>Y</t>
        </is>
      </c>
    </row>
    <row r="161" ht="18" customHeight="1">
      <c r="A161" s="9" t="inlineStr">
        <is>
          <t>40</t>
        </is>
      </c>
      <c r="B161" s="9" t="inlineStr">
        <is>
          <t>ETC</t>
        </is>
      </c>
      <c r="C161" s="9" t="inlineStr">
        <is>
          <t>MDF_R</t>
        </is>
      </c>
      <c r="D161" s="9" t="inlineStr">
        <is>
          <t>-</t>
        </is>
      </c>
      <c r="E161" s="9" t="inlineStr">
        <is>
          <t>-</t>
        </is>
      </c>
      <c r="F161" s="9" t="inlineStr"/>
      <c r="G161" s="9" t="inlineStr">
        <is>
          <t xml:space="preserve"> / </t>
        </is>
      </c>
      <c r="H161" s="9" t="inlineStr">
        <is>
          <t>Y</t>
        </is>
      </c>
    </row>
    <row r="162" ht="18" customHeight="1">
      <c r="A162" s="9" t="inlineStr">
        <is>
          <t>40</t>
        </is>
      </c>
      <c r="B162" s="9" t="inlineStr">
        <is>
          <t>ETC</t>
        </is>
      </c>
      <c r="C162" s="9" t="inlineStr">
        <is>
          <t>TOOLING_C</t>
        </is>
      </c>
      <c r="D162" s="9" t="inlineStr">
        <is>
          <t>-</t>
        </is>
      </c>
      <c r="E162" s="9" t="inlineStr">
        <is>
          <t>-</t>
        </is>
      </c>
      <c r="F162" s="9" t="inlineStr"/>
      <c r="G162" s="9" t="inlineStr">
        <is>
          <t xml:space="preserve"> / </t>
        </is>
      </c>
      <c r="H162" s="9" t="inlineStr">
        <is>
          <t>Y</t>
        </is>
      </c>
    </row>
    <row r="163" ht="18" customHeight="1">
      <c r="A163" s="9" t="inlineStr">
        <is>
          <t>40</t>
        </is>
      </c>
      <c r="B163" s="9" t="inlineStr">
        <is>
          <t>ETC</t>
        </is>
      </c>
      <c r="C163" s="9" t="inlineStr">
        <is>
          <t>TOOLING_P</t>
        </is>
      </c>
      <c r="D163" s="9" t="inlineStr">
        <is>
          <t>-</t>
        </is>
      </c>
      <c r="E163" s="9" t="inlineStr">
        <is>
          <t>-</t>
        </is>
      </c>
      <c r="F163" s="9" t="inlineStr"/>
      <c r="G163" s="9" t="inlineStr">
        <is>
          <t xml:space="preserve"> / </t>
        </is>
      </c>
      <c r="H163" s="9" t="inlineStr">
        <is>
          <t>Y</t>
        </is>
      </c>
    </row>
    <row r="164" ht="18" customHeight="1">
      <c r="A164" s="9" t="inlineStr">
        <is>
          <t>40</t>
        </is>
      </c>
      <c r="B164" s="9" t="inlineStr">
        <is>
          <t>ETC</t>
        </is>
      </c>
      <c r="C164" s="9" t="inlineStr">
        <is>
          <t>TOOLING_R</t>
        </is>
      </c>
      <c r="D164" s="9" t="inlineStr">
        <is>
          <t>-</t>
        </is>
      </c>
      <c r="E164" s="9" t="inlineStr">
        <is>
          <t>-</t>
        </is>
      </c>
      <c r="F164" s="9" t="inlineStr"/>
      <c r="G164" s="9" t="inlineStr">
        <is>
          <t xml:space="preserve"> / </t>
        </is>
      </c>
      <c r="H164" s="9" t="inlineStr">
        <is>
          <t>Y</t>
        </is>
      </c>
    </row>
    <row r="165" ht="18" customHeight="1">
      <c r="A165" s="9" t="inlineStr">
        <is>
          <t>81</t>
        </is>
      </c>
      <c r="B165" s="9" t="inlineStr">
        <is>
          <t>ETC</t>
        </is>
      </c>
      <c r="C165" s="9" t="inlineStr">
        <is>
          <t>ETC</t>
        </is>
      </c>
      <c r="D165" s="9" t="inlineStr">
        <is>
          <t>-</t>
        </is>
      </c>
      <c r="E165" s="9" t="inlineStr">
        <is>
          <t>-</t>
        </is>
      </c>
      <c r="F165" s="9" t="inlineStr"/>
      <c r="G165" s="9" t="inlineStr">
        <is>
          <t xml:space="preserve"> / </t>
        </is>
      </c>
      <c r="H165" s="9" t="inlineStr">
        <is>
          <t>Y</t>
        </is>
      </c>
    </row>
    <row r="166" ht="18" customHeight="1">
      <c r="A166" s="9" t="inlineStr">
        <is>
          <t>81</t>
        </is>
      </c>
      <c r="B166" s="9" t="inlineStr">
        <is>
          <t>ETC</t>
        </is>
      </c>
      <c r="C166" s="9" t="inlineStr">
        <is>
          <t>MDF</t>
        </is>
      </c>
      <c r="D166" s="9" t="inlineStr">
        <is>
          <t>-</t>
        </is>
      </c>
      <c r="E166" s="9" t="inlineStr">
        <is>
          <t>-</t>
        </is>
      </c>
      <c r="F166" s="9" t="inlineStr"/>
      <c r="G166" s="9" t="inlineStr">
        <is>
          <t xml:space="preserve"> / </t>
        </is>
      </c>
      <c r="H166" s="9" t="inlineStr">
        <is>
          <t>Y</t>
        </is>
      </c>
    </row>
    <row r="167" ht="18" customHeight="1">
      <c r="A167" s="9" t="inlineStr">
        <is>
          <t>81</t>
        </is>
      </c>
      <c r="B167" s="9" t="inlineStr">
        <is>
          <t>ETC</t>
        </is>
      </c>
      <c r="C167" s="9" t="inlineStr">
        <is>
          <t>물동보상금</t>
        </is>
      </c>
      <c r="D167" s="9" t="inlineStr">
        <is>
          <t>-</t>
        </is>
      </c>
      <c r="E167" s="9" t="inlineStr">
        <is>
          <t>-</t>
        </is>
      </c>
      <c r="F167" s="9" t="inlineStr"/>
      <c r="G167" s="9" t="inlineStr">
        <is>
          <t xml:space="preserve"> / </t>
        </is>
      </c>
      <c r="H167" s="9" t="inlineStr">
        <is>
          <t>Y</t>
        </is>
      </c>
    </row>
    <row r="168" ht="30" customHeight="1">
      <c r="A168" s="9" t="inlineStr">
        <is>
          <t>81_HD</t>
        </is>
      </c>
      <c r="B168" s="9" t="inlineStr">
        <is>
          <t>ETC</t>
        </is>
      </c>
      <c r="C168" s="9" t="inlineStr">
        <is>
          <t>ETC</t>
        </is>
      </c>
      <c r="D168" s="9" t="inlineStr">
        <is>
          <t>-</t>
        </is>
      </c>
      <c r="E168" s="9" t="inlineStr">
        <is>
          <t>-</t>
        </is>
      </c>
      <c r="F168" s="9" t="inlineStr"/>
      <c r="G168" s="9" t="inlineStr">
        <is>
          <t xml:space="preserve"> / </t>
        </is>
      </c>
      <c r="H168" s="9" t="inlineStr">
        <is>
          <t>Y</t>
        </is>
      </c>
    </row>
    <row r="169" ht="30" customHeight="1">
      <c r="A169" s="9" t="inlineStr">
        <is>
          <t>81_HD</t>
        </is>
      </c>
      <c r="B169" s="9" t="inlineStr">
        <is>
          <t>ETC</t>
        </is>
      </c>
      <c r="C169" s="9" t="inlineStr">
        <is>
          <t>MDF</t>
        </is>
      </c>
      <c r="D169" s="9" t="inlineStr">
        <is>
          <t>-</t>
        </is>
      </c>
      <c r="E169" s="9" t="inlineStr">
        <is>
          <t>-</t>
        </is>
      </c>
      <c r="F169" s="9" t="inlineStr"/>
      <c r="G169" s="9" t="inlineStr">
        <is>
          <t xml:space="preserve"> / </t>
        </is>
      </c>
      <c r="H169" s="9" t="inlineStr">
        <is>
          <t>Y</t>
        </is>
      </c>
    </row>
    <row r="170" ht="30" customHeight="1">
      <c r="A170" s="9" t="inlineStr">
        <is>
          <t>81_HD</t>
        </is>
      </c>
      <c r="B170" s="9" t="inlineStr">
        <is>
          <t>ETC</t>
        </is>
      </c>
      <c r="C170" s="9" t="inlineStr">
        <is>
          <t>물동보상금</t>
        </is>
      </c>
      <c r="D170" s="9" t="inlineStr">
        <is>
          <t>-</t>
        </is>
      </c>
      <c r="E170" s="9" t="inlineStr">
        <is>
          <t>-</t>
        </is>
      </c>
      <c r="F170" s="9" t="inlineStr"/>
      <c r="G170" s="9" t="inlineStr">
        <is>
          <t xml:space="preserve"> / </t>
        </is>
      </c>
      <c r="H170" s="9" t="inlineStr">
        <is>
          <t>Y</t>
        </is>
      </c>
    </row>
    <row r="171" ht="30" customHeight="1">
      <c r="A171" s="9" t="inlineStr">
        <is>
          <t>81_HG</t>
        </is>
      </c>
      <c r="B171" s="9" t="inlineStr">
        <is>
          <t>ETC</t>
        </is>
      </c>
      <c r="C171" s="9" t="inlineStr">
        <is>
          <t>ETC</t>
        </is>
      </c>
      <c r="D171" s="9" t="inlineStr">
        <is>
          <t>-</t>
        </is>
      </c>
      <c r="E171" s="9" t="inlineStr">
        <is>
          <t>-</t>
        </is>
      </c>
      <c r="F171" s="9" t="inlineStr"/>
      <c r="G171" s="9" t="inlineStr">
        <is>
          <t xml:space="preserve"> / </t>
        </is>
      </c>
      <c r="H171" s="9" t="inlineStr">
        <is>
          <t>Y</t>
        </is>
      </c>
    </row>
    <row r="172" ht="30" customHeight="1">
      <c r="A172" s="9" t="inlineStr">
        <is>
          <t>81_HG</t>
        </is>
      </c>
      <c r="B172" s="9" t="inlineStr">
        <is>
          <t>ETC</t>
        </is>
      </c>
      <c r="C172" s="9" t="inlineStr">
        <is>
          <t>MDF</t>
        </is>
      </c>
      <c r="D172" s="9" t="inlineStr">
        <is>
          <t>-</t>
        </is>
      </c>
      <c r="E172" s="9" t="inlineStr">
        <is>
          <t>-</t>
        </is>
      </c>
      <c r="F172" s="9" t="inlineStr"/>
      <c r="G172" s="9" t="inlineStr">
        <is>
          <t xml:space="preserve"> / </t>
        </is>
      </c>
      <c r="H172" s="9" t="inlineStr">
        <is>
          <t>Y</t>
        </is>
      </c>
    </row>
    <row r="173" ht="30" customHeight="1">
      <c r="A173" s="9" t="inlineStr">
        <is>
          <t>81_HG</t>
        </is>
      </c>
      <c r="B173" s="9" t="inlineStr">
        <is>
          <t>ETC</t>
        </is>
      </c>
      <c r="C173" s="9" t="inlineStr">
        <is>
          <t>물동보상금</t>
        </is>
      </c>
      <c r="D173" s="9" t="inlineStr">
        <is>
          <t>-</t>
        </is>
      </c>
      <c r="E173" s="9" t="inlineStr">
        <is>
          <t>-</t>
        </is>
      </c>
      <c r="F173" s="9" t="inlineStr"/>
      <c r="G173" s="9" t="inlineStr">
        <is>
          <t xml:space="preserve"> / </t>
        </is>
      </c>
      <c r="H173" s="9" t="inlineStr">
        <is>
          <t>Y</t>
        </is>
      </c>
    </row>
    <row r="174" ht="30" customHeight="1">
      <c r="A174" s="9" t="inlineStr">
        <is>
          <t>81_HM</t>
        </is>
      </c>
      <c r="B174" s="9" t="inlineStr">
        <is>
          <t>ETC</t>
        </is>
      </c>
      <c r="C174" s="9" t="inlineStr">
        <is>
          <t>ETC</t>
        </is>
      </c>
      <c r="D174" s="9" t="inlineStr">
        <is>
          <t>-</t>
        </is>
      </c>
      <c r="E174" s="9" t="inlineStr">
        <is>
          <t>-</t>
        </is>
      </c>
      <c r="F174" s="9" t="inlineStr"/>
      <c r="G174" s="9" t="inlineStr">
        <is>
          <t xml:space="preserve"> / </t>
        </is>
      </c>
      <c r="H174" s="9" t="inlineStr">
        <is>
          <t>Y</t>
        </is>
      </c>
    </row>
    <row r="175" ht="30" customHeight="1">
      <c r="A175" s="9" t="inlineStr">
        <is>
          <t>81_HM</t>
        </is>
      </c>
      <c r="B175" s="9" t="inlineStr">
        <is>
          <t>ETC</t>
        </is>
      </c>
      <c r="C175" s="9" t="inlineStr">
        <is>
          <t>MDF</t>
        </is>
      </c>
      <c r="D175" s="9" t="inlineStr">
        <is>
          <t>-</t>
        </is>
      </c>
      <c r="E175" s="9" t="inlineStr">
        <is>
          <t>-</t>
        </is>
      </c>
      <c r="F175" s="9" t="inlineStr"/>
      <c r="G175" s="9" t="inlineStr">
        <is>
          <t xml:space="preserve"> / </t>
        </is>
      </c>
      <c r="H175" s="9" t="inlineStr">
        <is>
          <t>Y</t>
        </is>
      </c>
    </row>
    <row r="176" ht="30" customHeight="1">
      <c r="A176" s="9" t="inlineStr">
        <is>
          <t>81_HM</t>
        </is>
      </c>
      <c r="B176" s="9" t="inlineStr">
        <is>
          <t>ETC</t>
        </is>
      </c>
      <c r="C176" s="9" t="inlineStr">
        <is>
          <t>물동보상금</t>
        </is>
      </c>
      <c r="D176" s="9" t="inlineStr">
        <is>
          <t>-</t>
        </is>
      </c>
      <c r="E176" s="9" t="inlineStr">
        <is>
          <t>-</t>
        </is>
      </c>
      <c r="F176" s="9" t="inlineStr"/>
      <c r="G176" s="9" t="inlineStr">
        <is>
          <t xml:space="preserve"> / </t>
        </is>
      </c>
      <c r="H176" s="9" t="inlineStr">
        <is>
          <t>Y</t>
        </is>
      </c>
    </row>
    <row r="177" ht="30" customHeight="1">
      <c r="A177" s="9" t="inlineStr">
        <is>
          <t>81_ST</t>
        </is>
      </c>
      <c r="B177" s="9" t="inlineStr">
        <is>
          <t>ETC</t>
        </is>
      </c>
      <c r="C177" s="9" t="inlineStr">
        <is>
          <t>ETC</t>
        </is>
      </c>
      <c r="D177" s="9" t="inlineStr">
        <is>
          <t>-</t>
        </is>
      </c>
      <c r="E177" s="9" t="inlineStr">
        <is>
          <t>-</t>
        </is>
      </c>
      <c r="F177" s="9" t="inlineStr"/>
      <c r="G177" s="9" t="inlineStr">
        <is>
          <t xml:space="preserve"> / </t>
        </is>
      </c>
      <c r="H177" s="9" t="inlineStr">
        <is>
          <t>Y</t>
        </is>
      </c>
    </row>
    <row r="178" ht="30" customHeight="1">
      <c r="A178" s="9" t="inlineStr">
        <is>
          <t>81_ST</t>
        </is>
      </c>
      <c r="B178" s="9" t="inlineStr">
        <is>
          <t>ETC</t>
        </is>
      </c>
      <c r="C178" s="9" t="inlineStr">
        <is>
          <t>MDF</t>
        </is>
      </c>
      <c r="D178" s="9" t="inlineStr">
        <is>
          <t>-</t>
        </is>
      </c>
      <c r="E178" s="9" t="inlineStr">
        <is>
          <t>-</t>
        </is>
      </c>
      <c r="F178" s="9" t="inlineStr"/>
      <c r="G178" s="9" t="inlineStr">
        <is>
          <t xml:space="preserve"> / </t>
        </is>
      </c>
      <c r="H178" s="9" t="inlineStr">
        <is>
          <t>Y</t>
        </is>
      </c>
    </row>
    <row r="179" ht="30" customHeight="1">
      <c r="A179" s="9" t="inlineStr">
        <is>
          <t>81_ST</t>
        </is>
      </c>
      <c r="B179" s="9" t="inlineStr">
        <is>
          <t>ETC</t>
        </is>
      </c>
      <c r="C179" s="9" t="inlineStr">
        <is>
          <t>물동보상금</t>
        </is>
      </c>
      <c r="D179" s="9" t="inlineStr">
        <is>
          <t>-</t>
        </is>
      </c>
      <c r="E179" s="9" t="inlineStr">
        <is>
          <t>-</t>
        </is>
      </c>
      <c r="F179" s="9" t="inlineStr"/>
      <c r="G179" s="9" t="inlineStr">
        <is>
          <t xml:space="preserve"> / </t>
        </is>
      </c>
      <c r="H179" s="9" t="inlineStr">
        <is>
          <t>Y</t>
        </is>
      </c>
    </row>
    <row r="180" ht="30" customHeight="1">
      <c r="A180" s="9" t="inlineStr">
        <is>
          <t>81_UC</t>
        </is>
      </c>
      <c r="B180" s="9" t="inlineStr">
        <is>
          <t>ETC</t>
        </is>
      </c>
      <c r="C180" s="9" t="inlineStr">
        <is>
          <t>ETC</t>
        </is>
      </c>
      <c r="D180" s="9" t="inlineStr">
        <is>
          <t>-</t>
        </is>
      </c>
      <c r="E180" s="9" t="inlineStr">
        <is>
          <t>-</t>
        </is>
      </c>
      <c r="F180" s="9" t="inlineStr"/>
      <c r="G180" s="9" t="inlineStr">
        <is>
          <t xml:space="preserve"> / </t>
        </is>
      </c>
      <c r="H180" s="9" t="inlineStr">
        <is>
          <t>Y</t>
        </is>
      </c>
    </row>
    <row r="181" ht="30" customHeight="1">
      <c r="A181" s="9" t="inlineStr">
        <is>
          <t>81_UC</t>
        </is>
      </c>
      <c r="B181" s="9" t="inlineStr">
        <is>
          <t>ETC</t>
        </is>
      </c>
      <c r="C181" s="9" t="inlineStr">
        <is>
          <t>MDF</t>
        </is>
      </c>
      <c r="D181" s="9" t="inlineStr">
        <is>
          <t>-</t>
        </is>
      </c>
      <c r="E181" s="9" t="inlineStr">
        <is>
          <t>-</t>
        </is>
      </c>
      <c r="F181" s="9" t="inlineStr"/>
      <c r="G181" s="9" t="inlineStr">
        <is>
          <t xml:space="preserve"> / </t>
        </is>
      </c>
      <c r="H181" s="9" t="inlineStr">
        <is>
          <t>Y</t>
        </is>
      </c>
    </row>
    <row r="182" ht="30" customHeight="1">
      <c r="A182" s="9" t="inlineStr">
        <is>
          <t>81_UC</t>
        </is>
      </c>
      <c r="B182" s="9" t="inlineStr">
        <is>
          <t>ETC</t>
        </is>
      </c>
      <c r="C182" s="9" t="inlineStr">
        <is>
          <t>물동보상금</t>
        </is>
      </c>
      <c r="D182" s="9" t="inlineStr">
        <is>
          <t>-</t>
        </is>
      </c>
      <c r="E182" s="9" t="inlineStr">
        <is>
          <t>-</t>
        </is>
      </c>
      <c r="F182" s="9" t="inlineStr"/>
      <c r="G182" s="9" t="inlineStr">
        <is>
          <t xml:space="preserve"> / </t>
        </is>
      </c>
      <c r="H182" s="9" t="inlineStr">
        <is>
          <t>Y</t>
        </is>
      </c>
    </row>
    <row r="183" ht="18" customHeight="1">
      <c r="A183" s="9" t="inlineStr">
        <is>
          <t>82</t>
        </is>
      </c>
      <c r="B183" s="9" t="inlineStr">
        <is>
          <t>ETC</t>
        </is>
      </c>
      <c r="C183" s="9" t="inlineStr">
        <is>
          <t>ETC</t>
        </is>
      </c>
      <c r="D183" s="9" t="inlineStr">
        <is>
          <t>-</t>
        </is>
      </c>
      <c r="E183" s="9" t="inlineStr">
        <is>
          <t>-</t>
        </is>
      </c>
      <c r="F183" s="9" t="inlineStr"/>
      <c r="G183" s="9" t="inlineStr">
        <is>
          <t xml:space="preserve"> / </t>
        </is>
      </c>
      <c r="H183" s="9" t="inlineStr">
        <is>
          <t>Y</t>
        </is>
      </c>
    </row>
    <row r="184" ht="18" customHeight="1">
      <c r="A184" s="9" t="inlineStr">
        <is>
          <t>82</t>
        </is>
      </c>
      <c r="B184" s="9" t="inlineStr">
        <is>
          <t>ETC</t>
        </is>
      </c>
      <c r="C184" s="9" t="inlineStr">
        <is>
          <t>MDF</t>
        </is>
      </c>
      <c r="D184" s="9" t="inlineStr">
        <is>
          <t>-</t>
        </is>
      </c>
      <c r="E184" s="9" t="inlineStr">
        <is>
          <t>-</t>
        </is>
      </c>
      <c r="F184" s="9" t="inlineStr"/>
      <c r="G184" s="9" t="inlineStr">
        <is>
          <t xml:space="preserve"> / </t>
        </is>
      </c>
      <c r="H184" s="9" t="inlineStr">
        <is>
          <t>Y</t>
        </is>
      </c>
    </row>
    <row r="185" ht="18" customHeight="1">
      <c r="A185" s="9" t="inlineStr">
        <is>
          <t>82</t>
        </is>
      </c>
      <c r="B185" s="9" t="inlineStr">
        <is>
          <t>ETC</t>
        </is>
      </c>
      <c r="C185" s="9" t="inlineStr">
        <is>
          <t>SI</t>
        </is>
      </c>
      <c r="D185" s="9" t="inlineStr">
        <is>
          <t>-</t>
        </is>
      </c>
      <c r="E185" s="9" t="inlineStr">
        <is>
          <t>-</t>
        </is>
      </c>
      <c r="F185" s="9" t="inlineStr"/>
      <c r="G185" s="9" t="inlineStr">
        <is>
          <t xml:space="preserve"> / </t>
        </is>
      </c>
      <c r="H185" s="9" t="inlineStr">
        <is>
          <t>Y</t>
        </is>
      </c>
    </row>
    <row r="186" ht="18" customHeight="1">
      <c r="A186" s="9" t="inlineStr">
        <is>
          <t>82</t>
        </is>
      </c>
      <c r="B186" s="9" t="inlineStr">
        <is>
          <t>ETC</t>
        </is>
      </c>
      <c r="C186" s="9" t="inlineStr">
        <is>
          <t>Sample</t>
        </is>
      </c>
      <c r="D186" s="9" t="inlineStr">
        <is>
          <t>-</t>
        </is>
      </c>
      <c r="E186" s="9" t="inlineStr">
        <is>
          <t>-</t>
        </is>
      </c>
      <c r="F186" s="9" t="inlineStr"/>
      <c r="G186" s="9" t="inlineStr">
        <is>
          <t xml:space="preserve"> / </t>
        </is>
      </c>
      <c r="H186" s="9" t="inlineStr">
        <is>
          <t>Y</t>
        </is>
      </c>
    </row>
    <row r="188">
      <c r="A188" s="12" t="inlineStr">
        <is>
          <t>▣ DM_BIZ_TYPE_40  (1행)</t>
        </is>
      </c>
    </row>
    <row r="189">
      <c r="A189" s="8" t="inlineStr">
        <is>
          <t>SEG1</t>
        </is>
      </c>
      <c r="B189" s="8" t="inlineStr">
        <is>
          <t>SEG2</t>
        </is>
      </c>
      <c r="C189" s="8" t="inlineStr">
        <is>
          <t>SEG3</t>
        </is>
      </c>
      <c r="D189" s="8" t="inlineStr">
        <is>
          <t>SEG4</t>
        </is>
      </c>
      <c r="E189" s="8" t="inlineStr">
        <is>
          <t>SEG5</t>
        </is>
      </c>
      <c r="F189" s="8" t="inlineStr">
        <is>
          <t>DESC</t>
        </is>
      </c>
      <c r="G189" s="8" t="inlineStr">
        <is>
          <t>ATTR1~2</t>
        </is>
      </c>
      <c r="H189" s="8" t="inlineStr">
        <is>
          <t>V</t>
        </is>
      </c>
    </row>
    <row r="190" ht="18" customHeight="1">
      <c r="A190" s="9" t="inlineStr">
        <is>
          <t>40</t>
        </is>
      </c>
      <c r="B190" s="9" t="inlineStr">
        <is>
          <t>AMDMO0001A</t>
        </is>
      </c>
      <c r="C190" s="9" t="inlineStr">
        <is>
          <t>MODULE</t>
        </is>
      </c>
      <c r="D190" s="9" t="inlineStr">
        <is>
          <t>624</t>
        </is>
      </c>
      <c r="E190" s="9" t="inlineStr">
        <is>
          <t>-</t>
        </is>
      </c>
      <c r="F190" s="9" t="inlineStr"/>
      <c r="G190" s="9" t="inlineStr">
        <is>
          <t xml:space="preserve"> / </t>
        </is>
      </c>
      <c r="H190" s="9" t="inlineStr">
        <is>
          <t>Y</t>
        </is>
      </c>
    </row>
    <row r="192">
      <c r="A192" s="12" t="inlineStr">
        <is>
          <t>▣ TMM_MEASURE_ADMIN  (70행 — 상위 30 표시(전량=DB/JSON))</t>
        </is>
      </c>
    </row>
    <row r="193">
      <c r="A193" s="8" t="inlineStr">
        <is>
          <t>SEG1</t>
        </is>
      </c>
      <c r="B193" s="8" t="inlineStr">
        <is>
          <t>SEG2</t>
        </is>
      </c>
      <c r="C193" s="8" t="inlineStr">
        <is>
          <t>SEG3</t>
        </is>
      </c>
      <c r="D193" s="8" t="inlineStr">
        <is>
          <t>SEG4</t>
        </is>
      </c>
      <c r="E193" s="8" t="inlineStr">
        <is>
          <t>SEG5</t>
        </is>
      </c>
      <c r="F193" s="8" t="inlineStr">
        <is>
          <t>DESC</t>
        </is>
      </c>
      <c r="G193" s="8" t="inlineStr">
        <is>
          <t>ATTR1~2</t>
        </is>
      </c>
      <c r="H193" s="8" t="inlineStr">
        <is>
          <t>V</t>
        </is>
      </c>
    </row>
    <row r="194" ht="30" customHeight="1">
      <c r="A194" s="9" t="inlineStr">
        <is>
          <t>81</t>
        </is>
      </c>
      <c r="B194" s="9" t="inlineStr">
        <is>
          <t>-</t>
        </is>
      </c>
      <c r="C194" s="9" t="inlineStr">
        <is>
          <t>-</t>
        </is>
      </c>
      <c r="D194" s="9" t="inlineStr">
        <is>
          <t>bgyoon</t>
        </is>
      </c>
      <c r="E194" s="9" t="inlineStr">
        <is>
          <t>윤봉규</t>
        </is>
      </c>
      <c r="F194" s="9" t="inlineStr">
        <is>
          <t>자동차전지.마케팅3.독일1팀</t>
        </is>
      </c>
      <c r="G194" s="9" t="inlineStr">
        <is>
          <t xml:space="preserve"> / </t>
        </is>
      </c>
      <c r="H194" s="9" t="inlineStr">
        <is>
          <t>Y</t>
        </is>
      </c>
    </row>
    <row r="195" ht="30" customHeight="1">
      <c r="A195" s="9" t="inlineStr">
        <is>
          <t>81</t>
        </is>
      </c>
      <c r="B195" s="9" t="inlineStr">
        <is>
          <t>-</t>
        </is>
      </c>
      <c r="C195" s="9" t="inlineStr">
        <is>
          <t>-</t>
        </is>
      </c>
      <c r="D195" s="9" t="inlineStr">
        <is>
          <t>caey22</t>
        </is>
      </c>
      <c r="E195" s="9" t="inlineStr">
        <is>
          <t>최아연</t>
        </is>
      </c>
      <c r="F195" s="9" t="inlineStr">
        <is>
          <t>자동차전지.마케팅3.독일1팀</t>
        </is>
      </c>
      <c r="G195" s="9" t="inlineStr">
        <is>
          <t xml:space="preserve"> / </t>
        </is>
      </c>
      <c r="H195" s="9" t="inlineStr">
        <is>
          <t>Y</t>
        </is>
      </c>
    </row>
    <row r="196" ht="30" customHeight="1">
      <c r="A196" s="9" t="inlineStr">
        <is>
          <t>81</t>
        </is>
      </c>
      <c r="B196" s="9" t="inlineStr">
        <is>
          <t>-</t>
        </is>
      </c>
      <c r="C196" s="9" t="inlineStr">
        <is>
          <t>-</t>
        </is>
      </c>
      <c r="D196" s="9" t="inlineStr">
        <is>
          <t>chulwon.lee</t>
        </is>
      </c>
      <c r="E196" s="9" t="inlineStr">
        <is>
          <t>이철원</t>
        </is>
      </c>
      <c r="F196" s="9" t="inlineStr">
        <is>
          <t>자동차전지.마케팅3.독일1팀</t>
        </is>
      </c>
      <c r="G196" s="9" t="inlineStr">
        <is>
          <t xml:space="preserve"> / </t>
        </is>
      </c>
      <c r="H196" s="9" t="inlineStr">
        <is>
          <t>Y</t>
        </is>
      </c>
    </row>
    <row r="197" ht="30" customHeight="1">
      <c r="A197" s="9" t="inlineStr">
        <is>
          <t>81</t>
        </is>
      </c>
      <c r="B197" s="9" t="inlineStr">
        <is>
          <t>-</t>
        </is>
      </c>
      <c r="C197" s="9" t="inlineStr">
        <is>
          <t>-</t>
        </is>
      </c>
      <c r="D197" s="9" t="inlineStr">
        <is>
          <t>cjy0203</t>
        </is>
      </c>
      <c r="E197" s="9" t="inlineStr">
        <is>
          <t>최지윤</t>
        </is>
      </c>
      <c r="F197" s="9" t="inlineStr">
        <is>
          <t>자동차전지.마케팅3.독일1팀</t>
        </is>
      </c>
      <c r="G197" s="9" t="inlineStr">
        <is>
          <t xml:space="preserve"> / </t>
        </is>
      </c>
      <c r="H197" s="9" t="inlineStr">
        <is>
          <t>Y</t>
        </is>
      </c>
    </row>
    <row r="198" ht="30" customHeight="1">
      <c r="A198" s="9" t="inlineStr">
        <is>
          <t>81</t>
        </is>
      </c>
      <c r="B198" s="9" t="inlineStr">
        <is>
          <t>-</t>
        </is>
      </c>
      <c r="C198" s="9" t="inlineStr">
        <is>
          <t>-</t>
        </is>
      </c>
      <c r="D198" s="9" t="inlineStr">
        <is>
          <t>eshin0409</t>
        </is>
      </c>
      <c r="E198" s="9" t="inlineStr">
        <is>
          <t>신은지</t>
        </is>
      </c>
      <c r="F198" s="9" t="inlineStr">
        <is>
          <t>자동차전지.마케팅3.독일1팀</t>
        </is>
      </c>
      <c r="G198" s="9" t="inlineStr">
        <is>
          <t xml:space="preserve"> / </t>
        </is>
      </c>
      <c r="H198" s="9" t="inlineStr">
        <is>
          <t>Y</t>
        </is>
      </c>
    </row>
    <row r="199" ht="30" customHeight="1">
      <c r="A199" s="9" t="inlineStr">
        <is>
          <t>81</t>
        </is>
      </c>
      <c r="B199" s="9" t="inlineStr">
        <is>
          <t>-</t>
        </is>
      </c>
      <c r="C199" s="9" t="inlineStr">
        <is>
          <t>-</t>
        </is>
      </c>
      <c r="D199" s="9" t="inlineStr">
        <is>
          <t>harry_hyun</t>
        </is>
      </c>
      <c r="E199" s="9" t="inlineStr">
        <is>
          <t>현성근</t>
        </is>
      </c>
      <c r="F199" s="9" t="inlineStr">
        <is>
          <t>자동차전지.마케팅3.독일1팀</t>
        </is>
      </c>
      <c r="G199" s="9" t="inlineStr">
        <is>
          <t xml:space="preserve"> / </t>
        </is>
      </c>
      <c r="H199" s="9" t="inlineStr">
        <is>
          <t>Y</t>
        </is>
      </c>
    </row>
    <row r="200" ht="30" customHeight="1">
      <c r="A200" s="9" t="inlineStr">
        <is>
          <t>81</t>
        </is>
      </c>
      <c r="B200" s="9" t="inlineStr">
        <is>
          <t>-</t>
        </is>
      </c>
      <c r="C200" s="9" t="inlineStr">
        <is>
          <t>-</t>
        </is>
      </c>
      <c r="D200" s="9" t="inlineStr">
        <is>
          <t>jaeyun0331</t>
        </is>
      </c>
      <c r="E200" s="9" t="inlineStr">
        <is>
          <t>황재윤</t>
        </is>
      </c>
      <c r="F200" s="9" t="inlineStr">
        <is>
          <t>자동차전지.마케팅3.독일1팀</t>
        </is>
      </c>
      <c r="G200" s="9" t="inlineStr">
        <is>
          <t xml:space="preserve"> / </t>
        </is>
      </c>
      <c r="H200" s="9" t="inlineStr">
        <is>
          <t>Y</t>
        </is>
      </c>
    </row>
    <row r="201" ht="30" customHeight="1">
      <c r="A201" s="9" t="inlineStr">
        <is>
          <t>81</t>
        </is>
      </c>
      <c r="B201" s="9" t="inlineStr">
        <is>
          <t>-</t>
        </is>
      </c>
      <c r="C201" s="9" t="inlineStr">
        <is>
          <t>-</t>
        </is>
      </c>
      <c r="D201" s="9" t="inlineStr">
        <is>
          <t>jiyoonchoi</t>
        </is>
      </c>
      <c r="E201" s="9" t="inlineStr">
        <is>
          <t>최지윤</t>
        </is>
      </c>
      <c r="F201" s="9" t="inlineStr">
        <is>
          <t>자동차전지.마케팅3.독일1팀</t>
        </is>
      </c>
      <c r="G201" s="9" t="inlineStr">
        <is>
          <t xml:space="preserve"> / </t>
        </is>
      </c>
      <c r="H201" s="9" t="inlineStr">
        <is>
          <t>Y</t>
        </is>
      </c>
    </row>
    <row r="202" ht="30" customHeight="1">
      <c r="A202" s="9" t="inlineStr">
        <is>
          <t>81</t>
        </is>
      </c>
      <c r="B202" s="9" t="inlineStr">
        <is>
          <t>-</t>
        </is>
      </c>
      <c r="C202" s="9" t="inlineStr">
        <is>
          <t>-</t>
        </is>
      </c>
      <c r="D202" s="9" t="inlineStr">
        <is>
          <t>joohong.choi</t>
        </is>
      </c>
      <c r="E202" s="9" t="inlineStr">
        <is>
          <t>최주홍</t>
        </is>
      </c>
      <c r="F202" s="9" t="inlineStr">
        <is>
          <t>자동차전지.마케팅3.독일1팀</t>
        </is>
      </c>
      <c r="G202" s="9" t="inlineStr">
        <is>
          <t xml:space="preserve"> / </t>
        </is>
      </c>
      <c r="H202" s="9" t="inlineStr">
        <is>
          <t>Y</t>
        </is>
      </c>
    </row>
    <row r="203" ht="30" customHeight="1">
      <c r="A203" s="9" t="inlineStr">
        <is>
          <t>81</t>
        </is>
      </c>
      <c r="B203" s="9" t="inlineStr">
        <is>
          <t>-</t>
        </is>
      </c>
      <c r="C203" s="9" t="inlineStr">
        <is>
          <t>-</t>
        </is>
      </c>
      <c r="D203" s="9" t="inlineStr">
        <is>
          <t>louishyun</t>
        </is>
      </c>
      <c r="E203" s="9" t="inlineStr">
        <is>
          <t>현진웅</t>
        </is>
      </c>
      <c r="F203" s="9" t="inlineStr">
        <is>
          <t>자동차전지.마케팅3.독일1팀</t>
        </is>
      </c>
      <c r="G203" s="9" t="inlineStr">
        <is>
          <t xml:space="preserve"> / </t>
        </is>
      </c>
      <c r="H203" s="9" t="inlineStr">
        <is>
          <t>Y</t>
        </is>
      </c>
    </row>
    <row r="204" ht="30" customHeight="1">
      <c r="A204" s="9" t="inlineStr">
        <is>
          <t>81</t>
        </is>
      </c>
      <c r="B204" s="9" t="inlineStr">
        <is>
          <t>-</t>
        </is>
      </c>
      <c r="C204" s="9" t="inlineStr">
        <is>
          <t>-</t>
        </is>
      </c>
      <c r="D204" s="9" t="inlineStr">
        <is>
          <t>mooyongkang</t>
        </is>
      </c>
      <c r="E204" s="9" t="inlineStr">
        <is>
          <t>강무용</t>
        </is>
      </c>
      <c r="F204" s="9" t="inlineStr">
        <is>
          <t>자동차전지.마케팅3.독일1팀</t>
        </is>
      </c>
      <c r="G204" s="9" t="inlineStr">
        <is>
          <t xml:space="preserve"> / </t>
        </is>
      </c>
      <c r="H204" s="9" t="inlineStr">
        <is>
          <t>Y</t>
        </is>
      </c>
    </row>
    <row r="205" ht="30" customHeight="1">
      <c r="A205" s="9" t="inlineStr">
        <is>
          <t>81</t>
        </is>
      </c>
      <c r="B205" s="9" t="inlineStr">
        <is>
          <t>-</t>
        </is>
      </c>
      <c r="C205" s="9" t="inlineStr">
        <is>
          <t>-</t>
        </is>
      </c>
      <c r="D205" s="9" t="inlineStr">
        <is>
          <t>simonkim</t>
        </is>
      </c>
      <c r="E205" s="9" t="inlineStr">
        <is>
          <t>김효석</t>
        </is>
      </c>
      <c r="F205" s="9" t="inlineStr">
        <is>
          <t>자동차전지.마케팅3.독일1팀</t>
        </is>
      </c>
      <c r="G205" s="9" t="inlineStr">
        <is>
          <t xml:space="preserve"> / </t>
        </is>
      </c>
      <c r="H205" s="9" t="inlineStr">
        <is>
          <t>Y</t>
        </is>
      </c>
    </row>
    <row r="206" ht="30" customHeight="1">
      <c r="A206" s="9" t="inlineStr">
        <is>
          <t>81</t>
        </is>
      </c>
      <c r="B206" s="9" t="inlineStr">
        <is>
          <t>-</t>
        </is>
      </c>
      <c r="C206" s="9" t="inlineStr">
        <is>
          <t>-</t>
        </is>
      </c>
      <c r="D206" s="9" t="inlineStr">
        <is>
          <t>sojin.park</t>
        </is>
      </c>
      <c r="E206" s="9" t="inlineStr">
        <is>
          <t>박소진</t>
        </is>
      </c>
      <c r="F206" s="9" t="inlineStr">
        <is>
          <t>자동차전지.마케팅3.독일1팀</t>
        </is>
      </c>
      <c r="G206" s="9" t="inlineStr">
        <is>
          <t xml:space="preserve"> / </t>
        </is>
      </c>
      <c r="H206" s="9" t="inlineStr">
        <is>
          <t>Y</t>
        </is>
      </c>
    </row>
    <row r="207" ht="30" customHeight="1">
      <c r="A207" s="9" t="inlineStr">
        <is>
          <t>81</t>
        </is>
      </c>
      <c r="B207" s="9" t="inlineStr">
        <is>
          <t>-</t>
        </is>
      </c>
      <c r="C207" s="9" t="inlineStr">
        <is>
          <t>-</t>
        </is>
      </c>
      <c r="D207" s="9" t="inlineStr">
        <is>
          <t>stellalyn</t>
        </is>
      </c>
      <c r="E207" s="9" t="inlineStr">
        <is>
          <t>박채린</t>
        </is>
      </c>
      <c r="F207" s="9" t="inlineStr">
        <is>
          <t>자동차전지.마케팅3.독일1팀</t>
        </is>
      </c>
      <c r="G207" s="9" t="inlineStr">
        <is>
          <t xml:space="preserve"> / </t>
        </is>
      </c>
      <c r="H207" s="9" t="inlineStr">
        <is>
          <t>Y</t>
        </is>
      </c>
    </row>
    <row r="208" ht="30" customHeight="1">
      <c r="A208" s="9" t="inlineStr">
        <is>
          <t>81</t>
        </is>
      </c>
      <c r="B208" s="9" t="inlineStr">
        <is>
          <t>-</t>
        </is>
      </c>
      <c r="C208" s="9" t="inlineStr">
        <is>
          <t>-</t>
        </is>
      </c>
      <c r="D208" s="9" t="inlineStr">
        <is>
          <t>suhak.kim</t>
        </is>
      </c>
      <c r="E208" s="9" t="inlineStr">
        <is>
          <t>김수학</t>
        </is>
      </c>
      <c r="F208" s="9" t="inlineStr">
        <is>
          <t>자동차전지.마케팅3.독일1팀</t>
        </is>
      </c>
      <c r="G208" s="9" t="inlineStr">
        <is>
          <t xml:space="preserve"> / </t>
        </is>
      </c>
      <c r="H208" s="9" t="inlineStr">
        <is>
          <t>Y</t>
        </is>
      </c>
    </row>
    <row r="209" ht="30" customHeight="1">
      <c r="A209" s="9" t="inlineStr">
        <is>
          <t>81</t>
        </is>
      </c>
      <c r="B209" s="9" t="inlineStr">
        <is>
          <t>-</t>
        </is>
      </c>
      <c r="C209" s="9" t="inlineStr">
        <is>
          <t>-</t>
        </is>
      </c>
      <c r="D209" s="9" t="inlineStr">
        <is>
          <t>swnathankim</t>
        </is>
      </c>
      <c r="E209" s="9" t="inlineStr">
        <is>
          <t>김승원</t>
        </is>
      </c>
      <c r="F209" s="9" t="inlineStr">
        <is>
          <t>자동차전지.마케팅3.독일1팀</t>
        </is>
      </c>
      <c r="G209" s="9" t="inlineStr">
        <is>
          <t xml:space="preserve"> / </t>
        </is>
      </c>
      <c r="H209" s="9" t="inlineStr">
        <is>
          <t>Y</t>
        </is>
      </c>
    </row>
    <row r="210" ht="30" customHeight="1">
      <c r="A210" s="9" t="inlineStr">
        <is>
          <t>81</t>
        </is>
      </c>
      <c r="B210" s="9" t="inlineStr">
        <is>
          <t>-</t>
        </is>
      </c>
      <c r="C210" s="9" t="inlineStr">
        <is>
          <t>-</t>
        </is>
      </c>
      <c r="D210" s="9" t="inlineStr">
        <is>
          <t>williamsong</t>
        </is>
      </c>
      <c r="E210" s="9" t="inlineStr">
        <is>
          <t>송휘영</t>
        </is>
      </c>
      <c r="F210" s="9" t="inlineStr">
        <is>
          <t>자동차전지.마케팅3.독일1팀</t>
        </is>
      </c>
      <c r="G210" s="9" t="inlineStr">
        <is>
          <t xml:space="preserve"> / </t>
        </is>
      </c>
      <c r="H210" s="9" t="inlineStr">
        <is>
          <t>Y</t>
        </is>
      </c>
    </row>
    <row r="211" ht="30" customHeight="1">
      <c r="A211" s="9" t="inlineStr">
        <is>
          <t>81</t>
        </is>
      </c>
      <c r="B211" s="9" t="inlineStr">
        <is>
          <t>-</t>
        </is>
      </c>
      <c r="C211" s="9" t="inlineStr">
        <is>
          <t>-</t>
        </is>
      </c>
      <c r="D211" s="9" t="inlineStr">
        <is>
          <t>wjin.lee</t>
        </is>
      </c>
      <c r="E211" s="9" t="inlineStr">
        <is>
          <t>이우진</t>
        </is>
      </c>
      <c r="F211" s="9" t="inlineStr">
        <is>
          <t>자동차전지.마케팅3.독일1팀</t>
        </is>
      </c>
      <c r="G211" s="9" t="inlineStr">
        <is>
          <t xml:space="preserve"> / </t>
        </is>
      </c>
      <c r="H211" s="9" t="inlineStr">
        <is>
          <t>Y</t>
        </is>
      </c>
    </row>
    <row r="212" ht="30" customHeight="1">
      <c r="A212" s="9" t="inlineStr">
        <is>
          <t>81</t>
        </is>
      </c>
      <c r="B212" s="9" t="inlineStr">
        <is>
          <t>-</t>
        </is>
      </c>
      <c r="C212" s="9" t="inlineStr">
        <is>
          <t>-</t>
        </is>
      </c>
      <c r="D212" s="9" t="inlineStr">
        <is>
          <t>yoobyoun</t>
        </is>
      </c>
      <c r="E212" s="9" t="inlineStr">
        <is>
          <t>유병진</t>
        </is>
      </c>
      <c r="F212" s="9" t="inlineStr">
        <is>
          <t>자동차전지.마케팅3.독일1팀</t>
        </is>
      </c>
      <c r="G212" s="9" t="inlineStr">
        <is>
          <t xml:space="preserve"> / </t>
        </is>
      </c>
      <c r="H212" s="9" t="inlineStr">
        <is>
          <t>Y</t>
        </is>
      </c>
    </row>
    <row r="213" ht="30" customHeight="1">
      <c r="A213" s="9" t="inlineStr">
        <is>
          <t>81</t>
        </is>
      </c>
      <c r="B213" s="9" t="inlineStr">
        <is>
          <t>-</t>
        </is>
      </c>
      <c r="C213" s="9" t="inlineStr">
        <is>
          <t>-</t>
        </is>
      </c>
      <c r="D213" s="9" t="inlineStr">
        <is>
          <t>youngbin.kim</t>
        </is>
      </c>
      <c r="E213" s="9" t="inlineStr">
        <is>
          <t>김영빈</t>
        </is>
      </c>
      <c r="F213" s="9" t="inlineStr">
        <is>
          <t>자동차전지.마케팅3.독일1팀</t>
        </is>
      </c>
      <c r="G213" s="9" t="inlineStr">
        <is>
          <t xml:space="preserve"> / </t>
        </is>
      </c>
      <c r="H213" s="9" t="inlineStr">
        <is>
          <t>Y</t>
        </is>
      </c>
    </row>
    <row r="214" ht="30" customHeight="1">
      <c r="A214" s="9" t="inlineStr">
        <is>
          <t>81</t>
        </is>
      </c>
      <c r="B214" s="9" t="inlineStr">
        <is>
          <t>-</t>
        </is>
      </c>
      <c r="C214" s="9" t="inlineStr">
        <is>
          <t>-</t>
        </is>
      </c>
      <c r="D214" s="9" t="inlineStr">
        <is>
          <t>youngjinmoon</t>
        </is>
      </c>
      <c r="E214" s="9" t="inlineStr">
        <is>
          <t>문용진</t>
        </is>
      </c>
      <c r="F214" s="9" t="inlineStr">
        <is>
          <t>자동차전지.마케팅3.독일1팀</t>
        </is>
      </c>
      <c r="G214" s="9" t="inlineStr">
        <is>
          <t xml:space="preserve"> / </t>
        </is>
      </c>
      <c r="H214" s="9" t="inlineStr">
        <is>
          <t>Y</t>
        </is>
      </c>
    </row>
    <row r="215" ht="30" customHeight="1">
      <c r="A215" s="9" t="inlineStr">
        <is>
          <t>81</t>
        </is>
      </c>
      <c r="B215" s="9" t="inlineStr">
        <is>
          <t>-</t>
        </is>
      </c>
      <c r="C215" s="9" t="inlineStr">
        <is>
          <t>-</t>
        </is>
      </c>
      <c r="D215" s="9" t="inlineStr">
        <is>
          <t>seong.ho</t>
        </is>
      </c>
      <c r="E215" s="9" t="inlineStr">
        <is>
          <t>황성호</t>
        </is>
      </c>
      <c r="F215" s="9" t="inlineStr">
        <is>
          <t>자동차전지.마케팅2.영업관리팀</t>
        </is>
      </c>
      <c r="G215" s="9" t="inlineStr">
        <is>
          <t xml:space="preserve"> / </t>
        </is>
      </c>
      <c r="H215" s="9" t="inlineStr">
        <is>
          <t>Y</t>
        </is>
      </c>
    </row>
    <row r="216" ht="30" customHeight="1">
      <c r="A216" s="9" t="inlineStr">
        <is>
          <t>81</t>
        </is>
      </c>
      <c r="B216" s="9" t="inlineStr">
        <is>
          <t>-</t>
        </is>
      </c>
      <c r="C216" s="9" t="inlineStr">
        <is>
          <t>-</t>
        </is>
      </c>
      <c r="D216" s="9" t="inlineStr">
        <is>
          <t>oharim</t>
        </is>
      </c>
      <c r="E216" s="9" t="inlineStr">
        <is>
          <t>오아림</t>
        </is>
      </c>
      <c r="F216" s="9" t="inlineStr">
        <is>
          <t>자동차전지.마케팅2.영업관리팀</t>
        </is>
      </c>
      <c r="G216" s="9" t="inlineStr">
        <is>
          <t xml:space="preserve"> / </t>
        </is>
      </c>
      <c r="H216" s="9" t="inlineStr">
        <is>
          <t>Y</t>
        </is>
      </c>
    </row>
    <row r="217" ht="30" customHeight="1">
      <c r="A217" s="9" t="inlineStr">
        <is>
          <t>81</t>
        </is>
      </c>
      <c r="B217" s="9" t="inlineStr">
        <is>
          <t>-</t>
        </is>
      </c>
      <c r="C217" s="9" t="inlineStr">
        <is>
          <t>-</t>
        </is>
      </c>
      <c r="D217" s="9" t="inlineStr">
        <is>
          <t>jay.jang</t>
        </is>
      </c>
      <c r="E217" s="9" t="inlineStr">
        <is>
          <t>장영성</t>
        </is>
      </c>
      <c r="F217" s="9" t="inlineStr">
        <is>
          <t>자동차전지.마케팅2.영업관리팀</t>
        </is>
      </c>
      <c r="G217" s="9" t="inlineStr">
        <is>
          <t xml:space="preserve"> / </t>
        </is>
      </c>
      <c r="H217" s="9" t="inlineStr">
        <is>
          <t>Y</t>
        </is>
      </c>
    </row>
    <row r="218" ht="30" customHeight="1">
      <c r="A218" s="9" t="inlineStr">
        <is>
          <t>81</t>
        </is>
      </c>
      <c r="B218" s="9" t="inlineStr">
        <is>
          <t>-</t>
        </is>
      </c>
      <c r="C218" s="9" t="inlineStr">
        <is>
          <t>-</t>
        </is>
      </c>
      <c r="D218" s="9" t="inlineStr">
        <is>
          <t>jhchung</t>
        </is>
      </c>
      <c r="E218" s="9" t="inlineStr">
        <is>
          <t>정지훈</t>
        </is>
      </c>
      <c r="F218" s="9" t="inlineStr">
        <is>
          <t>자동차전지.마케팅2.영업관리팀</t>
        </is>
      </c>
      <c r="G218" s="9" t="inlineStr">
        <is>
          <t xml:space="preserve"> / </t>
        </is>
      </c>
      <c r="H218" s="9" t="inlineStr">
        <is>
          <t>Y</t>
        </is>
      </c>
    </row>
    <row r="219" ht="30" customHeight="1">
      <c r="A219" s="9" t="inlineStr">
        <is>
          <t>81</t>
        </is>
      </c>
      <c r="B219" s="9" t="inlineStr">
        <is>
          <t>-</t>
        </is>
      </c>
      <c r="C219" s="9" t="inlineStr">
        <is>
          <t>-</t>
        </is>
      </c>
      <c r="D219" s="9" t="inlineStr">
        <is>
          <t>jheewoo</t>
        </is>
      </c>
      <c r="E219" s="9" t="inlineStr">
        <is>
          <t>우정희</t>
        </is>
      </c>
      <c r="F219" s="9" t="inlineStr">
        <is>
          <t>자동차전지.마케팅2.영업관리팀</t>
        </is>
      </c>
      <c r="G219" s="9" t="inlineStr">
        <is>
          <t xml:space="preserve"> / </t>
        </is>
      </c>
      <c r="H219" s="9" t="inlineStr">
        <is>
          <t>Y</t>
        </is>
      </c>
    </row>
    <row r="220" ht="30" customHeight="1">
      <c r="A220" s="9" t="inlineStr">
        <is>
          <t>81</t>
        </is>
      </c>
      <c r="B220" s="9" t="inlineStr">
        <is>
          <t>-</t>
        </is>
      </c>
      <c r="C220" s="9" t="inlineStr">
        <is>
          <t>-</t>
        </is>
      </c>
      <c r="D220" s="9" t="inlineStr">
        <is>
          <t>mjhong0801</t>
        </is>
      </c>
      <c r="E220" s="9" t="inlineStr">
        <is>
          <t>홍민지</t>
        </is>
      </c>
      <c r="F220" s="9" t="inlineStr">
        <is>
          <t>자동차전지.마케팅2.영업관리팀</t>
        </is>
      </c>
      <c r="G220" s="9" t="inlineStr">
        <is>
          <t xml:space="preserve"> / </t>
        </is>
      </c>
      <c r="H220" s="9" t="inlineStr">
        <is>
          <t>Y</t>
        </is>
      </c>
    </row>
    <row r="221" ht="30" customHeight="1">
      <c r="A221" s="9" t="inlineStr">
        <is>
          <t>81</t>
        </is>
      </c>
      <c r="B221" s="9" t="inlineStr">
        <is>
          <t>-</t>
        </is>
      </c>
      <c r="C221" s="9" t="inlineStr">
        <is>
          <t>-</t>
        </is>
      </c>
      <c r="D221" s="9" t="inlineStr">
        <is>
          <t>jybyun</t>
        </is>
      </c>
      <c r="E221" s="9" t="inlineStr">
        <is>
          <t>변재연</t>
        </is>
      </c>
      <c r="F221" s="9" t="inlineStr">
        <is>
          <t>자동차전지.마케팅2.영업관리팀</t>
        </is>
      </c>
      <c r="G221" s="9" t="inlineStr">
        <is>
          <t xml:space="preserve"> / </t>
        </is>
      </c>
      <c r="H221" s="9" t="inlineStr">
        <is>
          <t>Y</t>
        </is>
      </c>
    </row>
    <row r="222" ht="30" customHeight="1">
      <c r="A222" s="9" t="inlineStr">
        <is>
          <t>81</t>
        </is>
      </c>
      <c r="B222" s="9" t="inlineStr">
        <is>
          <t>-</t>
        </is>
      </c>
      <c r="C222" s="9" t="inlineStr">
        <is>
          <t>-</t>
        </is>
      </c>
      <c r="D222" s="9" t="inlineStr">
        <is>
          <t>kjh0430</t>
        </is>
      </c>
      <c r="E222" s="9" t="inlineStr">
        <is>
          <t>고주형</t>
        </is>
      </c>
      <c r="F222" s="9" t="inlineStr">
        <is>
          <t>자동차전지.마케팅2.영업관리팀</t>
        </is>
      </c>
      <c r="G222" s="9" t="inlineStr">
        <is>
          <t xml:space="preserve"> / </t>
        </is>
      </c>
      <c r="H222" s="9" t="inlineStr">
        <is>
          <t>Y</t>
        </is>
      </c>
    </row>
    <row r="223" ht="30" customHeight="1">
      <c r="A223" s="9" t="inlineStr">
        <is>
          <t>81</t>
        </is>
      </c>
      <c r="B223" s="9" t="inlineStr">
        <is>
          <t>-</t>
        </is>
      </c>
      <c r="C223" s="9" t="inlineStr">
        <is>
          <t>-</t>
        </is>
      </c>
      <c r="D223" s="9" t="inlineStr">
        <is>
          <t>seongho.0226</t>
        </is>
      </c>
      <c r="E223" s="9" t="inlineStr">
        <is>
          <t>황성호</t>
        </is>
      </c>
      <c r="F223" s="9" t="inlineStr">
        <is>
          <t>자동차전지.마케팅2.영업관리팀</t>
        </is>
      </c>
      <c r="G223" s="9" t="inlineStr">
        <is>
          <t xml:space="preserve"> / </t>
        </is>
      </c>
      <c r="H223" s="9" t="inlineStr">
        <is>
          <t>Y</t>
        </is>
      </c>
    </row>
    <row r="225">
      <c r="A225" s="12" t="inlineStr">
        <is>
          <t>▣ PM_TEAM_MAPPING  (375행 — 상위 30 표시(전량=DB/JSON))</t>
        </is>
      </c>
    </row>
    <row r="226">
      <c r="A226" s="8" t="inlineStr">
        <is>
          <t>SEG1</t>
        </is>
      </c>
      <c r="B226" s="8" t="inlineStr">
        <is>
          <t>SEG2</t>
        </is>
      </c>
      <c r="C226" s="8" t="inlineStr">
        <is>
          <t>SEG3</t>
        </is>
      </c>
      <c r="D226" s="8" t="inlineStr">
        <is>
          <t>SEG4</t>
        </is>
      </c>
      <c r="E226" s="8" t="inlineStr">
        <is>
          <t>SEG5</t>
        </is>
      </c>
      <c r="F226" s="8" t="inlineStr">
        <is>
          <t>DESC</t>
        </is>
      </c>
      <c r="G226" s="8" t="inlineStr">
        <is>
          <t>ATTR1~2</t>
        </is>
      </c>
      <c r="H226" s="8" t="inlineStr">
        <is>
          <t>V</t>
        </is>
      </c>
    </row>
    <row r="227" ht="30" customHeight="1">
      <c r="A227" s="9" t="inlineStr">
        <is>
          <t>30175793</t>
        </is>
      </c>
      <c r="B227" s="9" t="inlineStr">
        <is>
          <t>LGCCI.전지부문.화북전지영업팀</t>
        </is>
      </c>
      <c r="C227" s="9" t="inlineStr">
        <is>
          <t>50007842</t>
        </is>
      </c>
      <c r="D227" s="9" t="inlineStr">
        <is>
          <t>소형전지.마케팅2.아시아1팀</t>
        </is>
      </c>
      <c r="E227" s="9" t="inlineStr">
        <is>
          <t>-</t>
        </is>
      </c>
      <c r="F227" s="9" t="inlineStr"/>
      <c r="G227" s="9" t="inlineStr"/>
      <c r="H227" s="9" t="inlineStr">
        <is>
          <t>Y</t>
        </is>
      </c>
    </row>
    <row r="228" ht="30" customHeight="1">
      <c r="A228" s="9" t="inlineStr">
        <is>
          <t>30234912</t>
        </is>
      </c>
      <c r="B228" s="9" t="inlineStr">
        <is>
          <t>Marketing Team</t>
        </is>
      </c>
      <c r="C228" s="9" t="inlineStr">
        <is>
          <t>58127819</t>
        </is>
      </c>
      <c r="D228" s="9" t="inlineStr">
        <is>
          <t>자동차전지.마케팅1.미주1팀</t>
        </is>
      </c>
      <c r="E228" s="9" t="inlineStr">
        <is>
          <t>-</t>
        </is>
      </c>
      <c r="F228" s="9" t="inlineStr"/>
      <c r="G228" s="9" t="inlineStr"/>
      <c r="H228" s="9" t="inlineStr">
        <is>
          <t>Y</t>
        </is>
      </c>
    </row>
    <row r="229" ht="30" customHeight="1">
      <c r="A229" s="9" t="inlineStr">
        <is>
          <t>30234912</t>
        </is>
      </c>
      <c r="B229" s="9" t="inlineStr">
        <is>
          <t>Marketing Team</t>
        </is>
      </c>
      <c r="C229" s="9" t="inlineStr">
        <is>
          <t>58665469</t>
        </is>
      </c>
      <c r="D229" s="9" t="inlineStr">
        <is>
          <t>자동차전지.마케팅1.미주2팀</t>
        </is>
      </c>
      <c r="E229" s="9" t="inlineStr">
        <is>
          <t>-</t>
        </is>
      </c>
      <c r="F229" s="9" t="inlineStr"/>
      <c r="G229" s="9" t="inlineStr"/>
      <c r="H229" s="9" t="inlineStr">
        <is>
          <t>Y</t>
        </is>
      </c>
    </row>
    <row r="230" ht="45" customHeight="1">
      <c r="A230" s="9" t="inlineStr">
        <is>
          <t>30263706</t>
        </is>
      </c>
      <c r="B230" s="9" t="inlineStr">
        <is>
          <t>VWG.Mass Prod.Suppt D.PM T.MEB P</t>
        </is>
      </c>
      <c r="C230" s="9" t="inlineStr">
        <is>
          <t>58127819</t>
        </is>
      </c>
      <c r="D230" s="9" t="inlineStr">
        <is>
          <t>자동차.마케팅1.미주1팀</t>
        </is>
      </c>
      <c r="E230" s="9" t="inlineStr">
        <is>
          <t>-</t>
        </is>
      </c>
      <c r="F230" s="9" t="inlineStr">
        <is>
          <t>WA법인 요청(판가수정 권한필요)으로 반영</t>
        </is>
      </c>
      <c r="G230" s="9" t="inlineStr"/>
      <c r="H230" s="9" t="inlineStr">
        <is>
          <t>Y</t>
        </is>
      </c>
    </row>
    <row r="231" ht="45" customHeight="1">
      <c r="A231" s="9" t="inlineStr">
        <is>
          <t>30263706</t>
        </is>
      </c>
      <c r="B231" s="9" t="inlineStr">
        <is>
          <t>VWG.Mass Prod.Suppt D.PM T.MEB P</t>
        </is>
      </c>
      <c r="C231" s="9" t="inlineStr">
        <is>
          <t>58148696</t>
        </is>
      </c>
      <c r="D231" s="9" t="inlineStr">
        <is>
          <t>자동차.마케팅2.유럽3팀</t>
        </is>
      </c>
      <c r="E231" s="9" t="inlineStr">
        <is>
          <t>-</t>
        </is>
      </c>
      <c r="F231" s="9" t="inlineStr">
        <is>
          <t>WA법인 요청(판가수정 권한필요)으로 반영</t>
        </is>
      </c>
      <c r="G231" s="9" t="inlineStr"/>
      <c r="H231" s="9" t="inlineStr">
        <is>
          <t>Y</t>
        </is>
      </c>
    </row>
    <row r="232" ht="45" customHeight="1">
      <c r="A232" s="9" t="inlineStr">
        <is>
          <t>30263706</t>
        </is>
      </c>
      <c r="B232" s="9" t="inlineStr">
        <is>
          <t>VWG.Mass Prod.Suppt D.PM T.MEB P</t>
        </is>
      </c>
      <c r="C232" s="9" t="inlineStr">
        <is>
          <t>58183074</t>
        </is>
      </c>
      <c r="D232" s="9" t="inlineStr">
        <is>
          <t>자동차.마케팅2.유럽2팀</t>
        </is>
      </c>
      <c r="E232" s="9" t="inlineStr">
        <is>
          <t>-</t>
        </is>
      </c>
      <c r="F232" s="9" t="inlineStr">
        <is>
          <t>WA법인 요청(판가수정 권한필요)으로 반영</t>
        </is>
      </c>
      <c r="G232" s="9" t="inlineStr"/>
      <c r="H232" s="9" t="inlineStr">
        <is>
          <t>Y</t>
        </is>
      </c>
    </row>
    <row r="233" ht="45" customHeight="1">
      <c r="A233" s="9" t="inlineStr">
        <is>
          <t>30263706</t>
        </is>
      </c>
      <c r="B233" s="9" t="inlineStr">
        <is>
          <t>VWG.Mass Prod.Suppt D.PM T.MEB P</t>
        </is>
      </c>
      <c r="C233" s="9" t="inlineStr">
        <is>
          <t>58410080</t>
        </is>
      </c>
      <c r="D233" s="9" t="inlineStr">
        <is>
          <t>자동차.마케팅1.미주PM팀</t>
        </is>
      </c>
      <c r="E233" s="9" t="inlineStr">
        <is>
          <t>-</t>
        </is>
      </c>
      <c r="F233" s="9" t="inlineStr">
        <is>
          <t>WA법인 요청(판가수정 권한필요)으로 반영</t>
        </is>
      </c>
      <c r="G233" s="9" t="inlineStr"/>
      <c r="H233" s="9" t="inlineStr">
        <is>
          <t>Y</t>
        </is>
      </c>
    </row>
    <row r="234" ht="45" customHeight="1">
      <c r="A234" s="9" t="inlineStr">
        <is>
          <t>30263706</t>
        </is>
      </c>
      <c r="B234" s="9" t="inlineStr">
        <is>
          <t>VWG.Mass Prod.Suppt D.PM T.MEB P</t>
        </is>
      </c>
      <c r="C234" s="9" t="inlineStr">
        <is>
          <t>58520304</t>
        </is>
      </c>
      <c r="D234" s="9" t="inlineStr">
        <is>
          <t>자동차.마케팅2.영업관리팀</t>
        </is>
      </c>
      <c r="E234" s="9" t="inlineStr">
        <is>
          <t>-</t>
        </is>
      </c>
      <c r="F234" s="9" t="inlineStr">
        <is>
          <t>WA법인 요청(판가수정 권한필요)으로 반영</t>
        </is>
      </c>
      <c r="G234" s="9" t="inlineStr"/>
      <c r="H234" s="9" t="inlineStr">
        <is>
          <t>Y</t>
        </is>
      </c>
    </row>
    <row r="235" ht="45" customHeight="1">
      <c r="A235" s="9" t="inlineStr">
        <is>
          <t>30263706</t>
        </is>
      </c>
      <c r="B235" s="9" t="inlineStr">
        <is>
          <t>VWG.Mass Prod.Suppt D.PM T.MEB P</t>
        </is>
      </c>
      <c r="C235" s="9" t="inlineStr">
        <is>
          <t>58558163</t>
        </is>
      </c>
      <c r="D235" s="9" t="inlineStr">
        <is>
          <t>자동차.마케팅2.유럽PM팀</t>
        </is>
      </c>
      <c r="E235" s="9" t="inlineStr">
        <is>
          <t>-</t>
        </is>
      </c>
      <c r="F235" s="9" t="inlineStr">
        <is>
          <t>WA법인 요청(판가수정 권한필요)으로 반영</t>
        </is>
      </c>
      <c r="G235" s="9" t="inlineStr"/>
      <c r="H235" s="9" t="inlineStr">
        <is>
          <t>Y</t>
        </is>
      </c>
    </row>
    <row r="236" ht="45" customHeight="1">
      <c r="A236" s="9" t="inlineStr">
        <is>
          <t>30263706</t>
        </is>
      </c>
      <c r="B236" s="9" t="inlineStr">
        <is>
          <t>VWG.Mass Prod.Suppt D.PM T.MEB P</t>
        </is>
      </c>
      <c r="C236" s="9" t="inlineStr">
        <is>
          <t>58611459</t>
        </is>
      </c>
      <c r="D236" s="9" t="inlineStr">
        <is>
          <t>자동차.마케팅2.유럽1팀</t>
        </is>
      </c>
      <c r="E236" s="9" t="inlineStr">
        <is>
          <t>-</t>
        </is>
      </c>
      <c r="F236" s="9" t="inlineStr">
        <is>
          <t>WA법인 요청(판가수정 권한필요)으로 반영</t>
        </is>
      </c>
      <c r="G236" s="9" t="inlineStr"/>
      <c r="H236" s="9" t="inlineStr">
        <is>
          <t>Y</t>
        </is>
      </c>
    </row>
    <row r="237" ht="45" customHeight="1">
      <c r="A237" s="9" t="inlineStr">
        <is>
          <t>30263706</t>
        </is>
      </c>
      <c r="B237" s="9" t="inlineStr">
        <is>
          <t>VWG.Mass Prod.Suppt D.PM T.MEB P</t>
        </is>
      </c>
      <c r="C237" s="9" t="inlineStr">
        <is>
          <t>58665469</t>
        </is>
      </c>
      <c r="D237" s="9" t="inlineStr">
        <is>
          <t>자동차.마케팅1.미주2팀</t>
        </is>
      </c>
      <c r="E237" s="9" t="inlineStr">
        <is>
          <t>-</t>
        </is>
      </c>
      <c r="F237" s="9" t="inlineStr">
        <is>
          <t>WA법인 요청(판가수정 권한필요)으로 반영</t>
        </is>
      </c>
      <c r="G237" s="9" t="inlineStr"/>
      <c r="H237" s="9" t="inlineStr">
        <is>
          <t>Y</t>
        </is>
      </c>
    </row>
    <row r="238" ht="45" customHeight="1">
      <c r="A238" s="9" t="inlineStr">
        <is>
          <t>30263706</t>
        </is>
      </c>
      <c r="B238" s="9" t="inlineStr">
        <is>
          <t>VWG.Mass Prod.Suppt D.PM T.MEB P</t>
        </is>
      </c>
      <c r="C238" s="9" t="inlineStr">
        <is>
          <t>58665472</t>
        </is>
      </c>
      <c r="D238" s="9" t="inlineStr">
        <is>
          <t>자동차.마케팅2.유럽4팀</t>
        </is>
      </c>
      <c r="E238" s="9" t="inlineStr">
        <is>
          <t>-</t>
        </is>
      </c>
      <c r="F238" s="9" t="inlineStr">
        <is>
          <t>WA법인 요청(판가수정 권한필요)으로 반영</t>
        </is>
      </c>
      <c r="G238" s="9" t="inlineStr"/>
      <c r="H238" s="9" t="inlineStr">
        <is>
          <t>Y</t>
        </is>
      </c>
    </row>
    <row r="239" ht="45" customHeight="1">
      <c r="A239" s="9" t="inlineStr">
        <is>
          <t>30263706</t>
        </is>
      </c>
      <c r="B239" s="9" t="inlineStr">
        <is>
          <t>VWG.Mass Prod.Suppt D.PM T.MEB P</t>
        </is>
      </c>
      <c r="C239" s="9" t="inlineStr">
        <is>
          <t>58684594</t>
        </is>
      </c>
      <c r="D239" s="9" t="inlineStr">
        <is>
          <t>LGESWA.QA.Warranty Service Team</t>
        </is>
      </c>
      <c r="E239" s="9" t="inlineStr">
        <is>
          <t>-</t>
        </is>
      </c>
      <c r="F239" s="9" t="inlineStr">
        <is>
          <t>WA법인 요청(판가수정 권한필요)으로 반영</t>
        </is>
      </c>
      <c r="G239" s="9" t="inlineStr"/>
      <c r="H239" s="9" t="inlineStr">
        <is>
          <t>Y</t>
        </is>
      </c>
    </row>
    <row r="240" ht="45" customHeight="1">
      <c r="A240" s="9" t="inlineStr">
        <is>
          <t>30263706</t>
        </is>
      </c>
      <c r="B240" s="9" t="inlineStr">
        <is>
          <t>VWG.Mass Prod.Suppt D.PM T.MEB P</t>
        </is>
      </c>
      <c r="C240" s="9" t="inlineStr">
        <is>
          <t>70000344</t>
        </is>
      </c>
      <c r="D240" s="9" t="inlineStr">
        <is>
          <t>자동차.마케팅3.신시장팀</t>
        </is>
      </c>
      <c r="E240" s="9" t="inlineStr">
        <is>
          <t>-</t>
        </is>
      </c>
      <c r="F240" s="9" t="inlineStr">
        <is>
          <t>WA법인 요청(판가수정 권한필요)으로 반영</t>
        </is>
      </c>
      <c r="G240" s="9" t="inlineStr"/>
      <c r="H240" s="9" t="inlineStr">
        <is>
          <t>Y</t>
        </is>
      </c>
    </row>
    <row r="241" ht="45" customHeight="1">
      <c r="A241" s="9" t="inlineStr">
        <is>
          <t>30263706</t>
        </is>
      </c>
      <c r="B241" s="9" t="inlineStr">
        <is>
          <t>VWG.Mass Prod.Suppt D.PM T.MEB P</t>
        </is>
      </c>
      <c r="C241" s="9" t="inlineStr">
        <is>
          <t>70000345</t>
        </is>
      </c>
      <c r="D241" s="9" t="inlineStr">
        <is>
          <t>자동차.VWG.VW팀</t>
        </is>
      </c>
      <c r="E241" s="9" t="inlineStr">
        <is>
          <t>-</t>
        </is>
      </c>
      <c r="F241" s="9" t="inlineStr">
        <is>
          <t>WA법인 요청(판가수정 권한필요)으로 반영</t>
        </is>
      </c>
      <c r="G241" s="9" t="inlineStr"/>
      <c r="H241" s="9" t="inlineStr">
        <is>
          <t>Y</t>
        </is>
      </c>
    </row>
    <row r="242" ht="45" customHeight="1">
      <c r="A242" s="9" t="inlineStr">
        <is>
          <t>30263706</t>
        </is>
      </c>
      <c r="B242" s="9" t="inlineStr">
        <is>
          <t>VWG.Mass Prod.Suppt D.PM T.MEB P</t>
        </is>
      </c>
      <c r="C242" s="9" t="inlineStr">
        <is>
          <t>70000346</t>
        </is>
      </c>
      <c r="D242" s="9" t="inlineStr">
        <is>
          <t>자동차.VWG.VWG PM팀</t>
        </is>
      </c>
      <c r="E242" s="9" t="inlineStr">
        <is>
          <t>-</t>
        </is>
      </c>
      <c r="F242" s="9" t="inlineStr">
        <is>
          <t>WA법인 요청(판가수정 권한필요)으로 반영</t>
        </is>
      </c>
      <c r="G242" s="9" t="inlineStr"/>
      <c r="H242" s="9" t="inlineStr">
        <is>
          <t>Y</t>
        </is>
      </c>
    </row>
    <row r="243" ht="45" customHeight="1">
      <c r="A243" s="9" t="inlineStr">
        <is>
          <t>30263706</t>
        </is>
      </c>
      <c r="B243" s="9" t="inlineStr">
        <is>
          <t>VWG.Mass Prod.Suppt D.PM T.MEB P</t>
        </is>
      </c>
      <c r="C243" s="9" t="inlineStr">
        <is>
          <t>70000347</t>
        </is>
      </c>
      <c r="D243" s="9" t="inlineStr">
        <is>
          <t>자동차.VWG.Audi／Porsche팀</t>
        </is>
      </c>
      <c r="E243" s="9" t="inlineStr">
        <is>
          <t>-</t>
        </is>
      </c>
      <c r="F243" s="9" t="inlineStr">
        <is>
          <t>WA법인 요청(판가수정 권한필요)으로 반영</t>
        </is>
      </c>
      <c r="G243" s="9" t="inlineStr"/>
      <c r="H243" s="9" t="inlineStr">
        <is>
          <t>Y</t>
        </is>
      </c>
    </row>
    <row r="244" ht="45" customHeight="1">
      <c r="A244" s="9" t="inlineStr">
        <is>
          <t>30277378</t>
        </is>
      </c>
      <c r="B244" s="9" t="inlineStr">
        <is>
          <t>EU/USA PM T.USA P</t>
        </is>
      </c>
      <c r="C244" s="9" t="inlineStr">
        <is>
          <t>58127819</t>
        </is>
      </c>
      <c r="D244" s="9" t="inlineStr">
        <is>
          <t>자동차.마케팅1.미주1팀</t>
        </is>
      </c>
      <c r="E244" s="9" t="inlineStr">
        <is>
          <t>-</t>
        </is>
      </c>
      <c r="F244" s="9" t="inlineStr">
        <is>
          <t>WA법인 요청(판가수정 권한필요)으로 반영</t>
        </is>
      </c>
      <c r="G244" s="9" t="inlineStr"/>
      <c r="H244" s="9" t="inlineStr">
        <is>
          <t>Y</t>
        </is>
      </c>
    </row>
    <row r="245" ht="45" customHeight="1">
      <c r="A245" s="9" t="inlineStr">
        <is>
          <t>30277378</t>
        </is>
      </c>
      <c r="B245" s="9" t="inlineStr">
        <is>
          <t>EU/USA PM T.USA P</t>
        </is>
      </c>
      <c r="C245" s="9" t="inlineStr">
        <is>
          <t>58148696</t>
        </is>
      </c>
      <c r="D245" s="9" t="inlineStr">
        <is>
          <t>자동차.마케팅2.유럽3팀</t>
        </is>
      </c>
      <c r="E245" s="9" t="inlineStr">
        <is>
          <t>-</t>
        </is>
      </c>
      <c r="F245" s="9" t="inlineStr">
        <is>
          <t>WA법인 요청(판가수정 권한필요)으로 반영</t>
        </is>
      </c>
      <c r="G245" s="9" t="inlineStr"/>
      <c r="H245" s="9" t="inlineStr">
        <is>
          <t>Y</t>
        </is>
      </c>
    </row>
    <row r="246" ht="45" customHeight="1">
      <c r="A246" s="9" t="inlineStr">
        <is>
          <t>30277378</t>
        </is>
      </c>
      <c r="B246" s="9" t="inlineStr">
        <is>
          <t>EU/USA PM T.USA P</t>
        </is>
      </c>
      <c r="C246" s="9" t="inlineStr">
        <is>
          <t>58183074</t>
        </is>
      </c>
      <c r="D246" s="9" t="inlineStr">
        <is>
          <t>자동차.마케팅2.유럽2팀</t>
        </is>
      </c>
      <c r="E246" s="9" t="inlineStr">
        <is>
          <t>-</t>
        </is>
      </c>
      <c r="F246" s="9" t="inlineStr">
        <is>
          <t>WA법인 요청(판가수정 권한필요)으로 반영</t>
        </is>
      </c>
      <c r="G246" s="9" t="inlineStr"/>
      <c r="H246" s="9" t="inlineStr">
        <is>
          <t>Y</t>
        </is>
      </c>
    </row>
    <row r="247" ht="45" customHeight="1">
      <c r="A247" s="9" t="inlineStr">
        <is>
          <t>30277378</t>
        </is>
      </c>
      <c r="B247" s="9" t="inlineStr">
        <is>
          <t>EU/USA PM T.USA P</t>
        </is>
      </c>
      <c r="C247" s="9" t="inlineStr">
        <is>
          <t>58410080</t>
        </is>
      </c>
      <c r="D247" s="9" t="inlineStr">
        <is>
          <t>자동차.마케팅1.미주PM팀</t>
        </is>
      </c>
      <c r="E247" s="9" t="inlineStr">
        <is>
          <t>-</t>
        </is>
      </c>
      <c r="F247" s="9" t="inlineStr">
        <is>
          <t>WA법인 요청(판가수정 권한필요)으로 반영</t>
        </is>
      </c>
      <c r="G247" s="9" t="inlineStr"/>
      <c r="H247" s="9" t="inlineStr">
        <is>
          <t>Y</t>
        </is>
      </c>
    </row>
    <row r="248" ht="45" customHeight="1">
      <c r="A248" s="9" t="inlineStr">
        <is>
          <t>30277378</t>
        </is>
      </c>
      <c r="B248" s="9" t="inlineStr">
        <is>
          <t>EU/USA PM T.USA P</t>
        </is>
      </c>
      <c r="C248" s="9" t="inlineStr">
        <is>
          <t>58520304</t>
        </is>
      </c>
      <c r="D248" s="9" t="inlineStr">
        <is>
          <t>자동차.마케팅2.영업관리팀</t>
        </is>
      </c>
      <c r="E248" s="9" t="inlineStr">
        <is>
          <t>-</t>
        </is>
      </c>
      <c r="F248" s="9" t="inlineStr">
        <is>
          <t>WA법인 요청(판가수정 권한필요)으로 반영</t>
        </is>
      </c>
      <c r="G248" s="9" t="inlineStr"/>
      <c r="H248" s="9" t="inlineStr">
        <is>
          <t>Y</t>
        </is>
      </c>
    </row>
    <row r="249" ht="45" customHeight="1">
      <c r="A249" s="9" t="inlineStr">
        <is>
          <t>30277378</t>
        </is>
      </c>
      <c r="B249" s="9" t="inlineStr">
        <is>
          <t>EU/USA PM T.USA P</t>
        </is>
      </c>
      <c r="C249" s="9" t="inlineStr">
        <is>
          <t>58558163</t>
        </is>
      </c>
      <c r="D249" s="9" t="inlineStr">
        <is>
          <t>자동차.마케팅2.유럽PM팀</t>
        </is>
      </c>
      <c r="E249" s="9" t="inlineStr">
        <is>
          <t>-</t>
        </is>
      </c>
      <c r="F249" s="9" t="inlineStr">
        <is>
          <t>WA법인 요청(판가수정 권한필요)으로 반영</t>
        </is>
      </c>
      <c r="G249" s="9" t="inlineStr"/>
      <c r="H249" s="9" t="inlineStr">
        <is>
          <t>Y</t>
        </is>
      </c>
    </row>
    <row r="250" ht="45" customHeight="1">
      <c r="A250" s="9" t="inlineStr">
        <is>
          <t>30277378</t>
        </is>
      </c>
      <c r="B250" s="9" t="inlineStr">
        <is>
          <t>EU/USA PM T.USA P</t>
        </is>
      </c>
      <c r="C250" s="9" t="inlineStr">
        <is>
          <t>58611459</t>
        </is>
      </c>
      <c r="D250" s="9" t="inlineStr">
        <is>
          <t>자동차.마케팅2.유럽1팀</t>
        </is>
      </c>
      <c r="E250" s="9" t="inlineStr">
        <is>
          <t>-</t>
        </is>
      </c>
      <c r="F250" s="9" t="inlineStr">
        <is>
          <t>WA법인 요청(판가수정 권한필요)으로 반영</t>
        </is>
      </c>
      <c r="G250" s="9" t="inlineStr"/>
      <c r="H250" s="9" t="inlineStr">
        <is>
          <t>Y</t>
        </is>
      </c>
    </row>
    <row r="251" ht="45" customHeight="1">
      <c r="A251" s="9" t="inlineStr">
        <is>
          <t>30277378</t>
        </is>
      </c>
      <c r="B251" s="9" t="inlineStr">
        <is>
          <t>EU/USA PM T.USA P</t>
        </is>
      </c>
      <c r="C251" s="9" t="inlineStr">
        <is>
          <t>58665469</t>
        </is>
      </c>
      <c r="D251" s="9" t="inlineStr">
        <is>
          <t>자동차.마케팅1.미주2팀</t>
        </is>
      </c>
      <c r="E251" s="9" t="inlineStr">
        <is>
          <t>-</t>
        </is>
      </c>
      <c r="F251" s="9" t="inlineStr">
        <is>
          <t>WA법인 요청(판가수정 권한필요)으로 반영</t>
        </is>
      </c>
      <c r="G251" s="9" t="inlineStr"/>
      <c r="H251" s="9" t="inlineStr">
        <is>
          <t>Y</t>
        </is>
      </c>
    </row>
    <row r="252" ht="45" customHeight="1">
      <c r="A252" s="9" t="inlineStr">
        <is>
          <t>30277378</t>
        </is>
      </c>
      <c r="B252" s="9" t="inlineStr">
        <is>
          <t>EU/USA PM T.USA P</t>
        </is>
      </c>
      <c r="C252" s="9" t="inlineStr">
        <is>
          <t>58665472</t>
        </is>
      </c>
      <c r="D252" s="9" t="inlineStr">
        <is>
          <t>자동차.마케팅2.유럽4팀</t>
        </is>
      </c>
      <c r="E252" s="9" t="inlineStr">
        <is>
          <t>-</t>
        </is>
      </c>
      <c r="F252" s="9" t="inlineStr">
        <is>
          <t>WA법인 요청(판가수정 권한필요)으로 반영</t>
        </is>
      </c>
      <c r="G252" s="9" t="inlineStr"/>
      <c r="H252" s="9" t="inlineStr">
        <is>
          <t>Y</t>
        </is>
      </c>
    </row>
    <row r="253" ht="45" customHeight="1">
      <c r="A253" s="9" t="inlineStr">
        <is>
          <t>30277378</t>
        </is>
      </c>
      <c r="B253" s="9" t="inlineStr">
        <is>
          <t>EU/USA PM T.USA P</t>
        </is>
      </c>
      <c r="C253" s="9" t="inlineStr">
        <is>
          <t>58684594</t>
        </is>
      </c>
      <c r="D253" s="9" t="inlineStr">
        <is>
          <t>LGESWA.QA.Warranty Service Team</t>
        </is>
      </c>
      <c r="E253" s="9" t="inlineStr">
        <is>
          <t>-</t>
        </is>
      </c>
      <c r="F253" s="9" t="inlineStr">
        <is>
          <t>WA법인 요청(판가수정 권한필요)으로 반영</t>
        </is>
      </c>
      <c r="G253" s="9" t="inlineStr"/>
      <c r="H253" s="9" t="inlineStr">
        <is>
          <t>Y</t>
        </is>
      </c>
    </row>
    <row r="254" ht="45" customHeight="1">
      <c r="A254" s="9" t="inlineStr">
        <is>
          <t>30277378</t>
        </is>
      </c>
      <c r="B254" s="9" t="inlineStr">
        <is>
          <t>EU/USA PM T.USA P</t>
        </is>
      </c>
      <c r="C254" s="9" t="inlineStr">
        <is>
          <t>70000344</t>
        </is>
      </c>
      <c r="D254" s="9" t="inlineStr">
        <is>
          <t>자동차.마케팅3.신시장팀</t>
        </is>
      </c>
      <c r="E254" s="9" t="inlineStr">
        <is>
          <t>-</t>
        </is>
      </c>
      <c r="F254" s="9" t="inlineStr">
        <is>
          <t>WA법인 요청(판가수정 권한필요)으로 반영</t>
        </is>
      </c>
      <c r="G254" s="9" t="inlineStr"/>
      <c r="H254" s="9" t="inlineStr">
        <is>
          <t>Y</t>
        </is>
      </c>
    </row>
    <row r="255" ht="45" customHeight="1">
      <c r="A255" s="9" t="inlineStr">
        <is>
          <t>30277378</t>
        </is>
      </c>
      <c r="B255" s="9" t="inlineStr">
        <is>
          <t>EU/USA PM T.USA P</t>
        </is>
      </c>
      <c r="C255" s="9" t="inlineStr">
        <is>
          <t>70000345</t>
        </is>
      </c>
      <c r="D255" s="9" t="inlineStr">
        <is>
          <t>자동차.VWG.VW팀</t>
        </is>
      </c>
      <c r="E255" s="9" t="inlineStr">
        <is>
          <t>-</t>
        </is>
      </c>
      <c r="F255" s="9" t="inlineStr">
        <is>
          <t>WA법인 요청(판가수정 권한필요)으로 반영</t>
        </is>
      </c>
      <c r="G255" s="9" t="inlineStr"/>
      <c r="H255" s="9" t="inlineStr">
        <is>
          <t>Y</t>
        </is>
      </c>
    </row>
    <row r="256" ht="45" customHeight="1">
      <c r="A256" s="9" t="inlineStr">
        <is>
          <t>30277378</t>
        </is>
      </c>
      <c r="B256" s="9" t="inlineStr">
        <is>
          <t>EU/USA PM T.USA P</t>
        </is>
      </c>
      <c r="C256" s="9" t="inlineStr">
        <is>
          <t>70000346</t>
        </is>
      </c>
      <c r="D256" s="9" t="inlineStr">
        <is>
          <t>자동차.VWG.VWG PM팀</t>
        </is>
      </c>
      <c r="E256" s="9" t="inlineStr">
        <is>
          <t>-</t>
        </is>
      </c>
      <c r="F256" s="9" t="inlineStr">
        <is>
          <t>WA법인 요청(판가수정 권한필요)으로 반영</t>
        </is>
      </c>
      <c r="G256" s="9" t="inlineStr"/>
      <c r="H256" s="9" t="inlineStr">
        <is>
          <t>Y</t>
        </is>
      </c>
    </row>
    <row r="258">
      <c r="A258" s="2" t="inlineStr">
        <is>
          <t>※ BP_FCST_TYPE(25)/MKT_FCST_MEASURE(24)/CUTOFF_USE_MEASURE(17)/PLAN_TIME(16) = DMF0021 SP 미참조(거버넌스/타화면) — 시트11 구분 표기.</t>
        </is>
      </c>
    </row>
  </sheetData>
  <mergeCells count="7">
    <mergeCell ref="A4:H4"/>
    <mergeCell ref="A3:H3"/>
    <mergeCell ref="A30:H30"/>
    <mergeCell ref="A13:H13"/>
    <mergeCell ref="A37:H37"/>
    <mergeCell ref="A93:H93"/>
    <mergeCell ref="A97:H9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.6" customWidth="1" min="1" max="1"/>
    <col width="20.6" customWidth="1" min="2" max="2"/>
    <col width="16.6" customWidth="1" min="3" max="3"/>
    <col width="38.6" customWidth="1" min="4" max="4"/>
    <col width="30.6" customWidth="1" min="5" max="5"/>
    <col width="55.6" customWidth="1" min="6" max="6"/>
    <col width="22.6" customWidth="1" min="7" max="7"/>
    <col width="60.6" customWidth="1" min="8" max="8"/>
    <col width="32.6" customWidth="1" min="9" max="9"/>
    <col width="35.6" customWidth="1" min="10" max="10"/>
  </cols>
  <sheetData>
    <row r="1" ht="21" customHeight="1">
      <c r="A1" s="1" t="inlineStr">
        <is>
          <t>10. 단위테스트 — TestCases (구현 후 검증용 사전 작성)</t>
        </is>
      </c>
    </row>
    <row r="2">
      <c r="A2" s="2" t="inlineStr">
        <is>
          <t>DMF0021 Sales Plan · UI 분석서 v1.0 · 2026-07-09 (hook #105 11시트)</t>
        </is>
      </c>
    </row>
    <row r="3" ht="28" customHeight="1">
      <c r="A3" s="3" t="inlineStr">
        <is>
          <t>📖 읽는 법 — 개발·검수용 테스트 시나리오. 사업부별 조회/편집/저장 규칙 확인.</t>
        </is>
      </c>
    </row>
    <row r="5">
      <c r="A5" s="5" t="inlineStr">
        <is>
          <t>No</t>
        </is>
      </c>
      <c r="B5" s="5" t="inlineStr">
        <is>
          <t>TC_ID</t>
        </is>
      </c>
      <c r="C5" s="5" t="inlineStr">
        <is>
          <t>영역</t>
        </is>
      </c>
      <c r="D5" s="5" t="inlineStr">
        <is>
          <t>테스트 항목</t>
        </is>
      </c>
      <c r="E5" s="5" t="inlineStr">
        <is>
          <t>사전 준비</t>
        </is>
      </c>
      <c r="F5" s="5" t="inlineStr">
        <is>
          <t>화면 조작 절차</t>
        </is>
      </c>
      <c r="G5" s="5" t="inlineStr">
        <is>
          <t>입력값</t>
        </is>
      </c>
      <c r="H5" s="5" t="inlineStr">
        <is>
          <t>화면에서 확인할 사항</t>
        </is>
      </c>
      <c r="I5" s="5" t="inlineStr">
        <is>
          <t>표시되는 메시지</t>
        </is>
      </c>
      <c r="J5" s="5" t="inlineStr">
        <is>
          <t>비고</t>
        </is>
      </c>
    </row>
    <row r="6" ht="30" customHeight="1">
      <c r="A6" s="6" t="n">
        <v>1</v>
      </c>
      <c r="B6" s="6" t="inlineStr">
        <is>
          <t>TC-DMF0021-A001</t>
        </is>
      </c>
      <c r="C6" s="6" t="inlineStr">
        <is>
          <t>A.화면진입</t>
        </is>
      </c>
      <c r="D6" s="6" t="inlineStr">
        <is>
          <t>Sales Plan 화면 정상 진입</t>
        </is>
      </c>
      <c r="E6" s="6" t="inlineStr">
        <is>
          <t>NSCM 로그인 (Division 권한 보유)</t>
        </is>
      </c>
      <c r="F6" s="6" t="inlineStr">
        <is>
          <t>1) 좌측 메뉴 [Demand] &gt; [Demand Plan] &gt; [Sales Plan] 클릭</t>
        </is>
      </c>
      <c r="G6" s="6" t="inlineStr">
        <is>
          <t>없음</t>
        </is>
      </c>
      <c r="H6" s="6" t="inlineStr">
        <is>
          <t>• 타이틀 'Sales Plan' 표시
• 조회조건 + 그리드 렌더</t>
        </is>
      </c>
      <c r="I6" s="6" t="inlineStr">
        <is>
          <t>없음</t>
        </is>
      </c>
      <c r="J6" s="6" t="inlineStr">
        <is>
          <t>⚠ MNU_URL=dmf0003 임시 배선 교체 후 확인</t>
        </is>
      </c>
    </row>
    <row r="7" ht="18" customHeight="1">
      <c r="A7" s="6" t="n">
        <v>2</v>
      </c>
      <c r="B7" s="6" t="inlineStr">
        <is>
          <t>TC-DMF0021-A002</t>
        </is>
      </c>
      <c r="C7" s="6" t="inlineStr">
        <is>
          <t>A.화면진입</t>
        </is>
      </c>
      <c r="D7" s="6" t="inlineStr">
        <is>
          <t>Division 콤보 = 본인 권한만</t>
        </is>
      </c>
      <c r="E7" s="6" t="inlineStr">
        <is>
          <t>권한 사업부 확인 (예: 40, 82)</t>
        </is>
      </c>
      <c r="F7" s="6" t="inlineStr">
        <is>
          <t>1) [Div.] 콤보 펼침</t>
        </is>
      </c>
      <c r="G7" s="6" t="inlineStr">
        <is>
          <t>없음</t>
        </is>
      </c>
      <c r="H7" s="6" t="inlineStr">
        <is>
          <t>• 권한 사업부만 표시 (CMBO 'MyDivision')</t>
        </is>
      </c>
      <c r="I7" s="6" t="inlineStr">
        <is>
          <t>없음</t>
        </is>
      </c>
      <c r="J7" s="6" t="inlineStr">
        <is>
          <t>단일 선택+필수(●)</t>
        </is>
      </c>
    </row>
    <row r="8" ht="18" customHeight="1">
      <c r="A8" s="6" t="n">
        <v>3</v>
      </c>
      <c r="B8" s="6" t="inlineStr">
        <is>
          <t>TC-DMF0021-A003</t>
        </is>
      </c>
      <c r="C8" s="6" t="inlineStr">
        <is>
          <t>A.화면진입</t>
        </is>
      </c>
      <c r="D8" s="6" t="inlineStr">
        <is>
          <t>Bucket 기본값 Monthly</t>
        </is>
      </c>
      <c r="E8" s="6" t="inlineStr">
        <is>
          <t>화면 진입</t>
        </is>
      </c>
      <c r="F8" s="6" t="inlineStr">
        <is>
          <t>1) [Bucket] 콤보 선택값 확인</t>
        </is>
      </c>
      <c r="G8" s="6" t="inlineStr">
        <is>
          <t>없음</t>
        </is>
      </c>
      <c r="H8" s="6" t="inlineStr">
        <is>
          <t>• 'Monthly' 기본 선택 (AS-IS L543 1:1)</t>
        </is>
      </c>
      <c r="I8" s="6" t="inlineStr">
        <is>
          <t>없음</t>
        </is>
      </c>
      <c r="J8" s="6" t="inlineStr">
        <is>
          <t>DMF0003(div82 Daily)과 다름 — 주의</t>
        </is>
      </c>
    </row>
    <row r="9" ht="18" customHeight="1">
      <c r="A9" s="6" t="n">
        <v>4</v>
      </c>
      <c r="B9" s="6" t="inlineStr">
        <is>
          <t>TC-DMF0021-A004</t>
        </is>
      </c>
      <c r="C9" s="6" t="inlineStr">
        <is>
          <t>A.화면진입</t>
        </is>
      </c>
      <c r="D9" s="6" t="inlineStr">
        <is>
          <t>Period 기본값 = 당월 1일~+6개월 말일</t>
        </is>
      </c>
      <c r="E9" s="6" t="inlineStr">
        <is>
          <t>화면 진입</t>
        </is>
      </c>
      <c r="F9" s="6" t="inlineStr">
        <is>
          <t>1) [Period] 값 확인</t>
        </is>
      </c>
      <c r="G9" s="6" t="inlineStr">
        <is>
          <t>없음</t>
        </is>
      </c>
      <c r="H9" s="6" t="inlineStr">
        <is>
          <t>• PR_GET_DAY_RANGE(6개월) 동등 기본값</t>
        </is>
      </c>
      <c r="I9" s="6" t="inlineStr">
        <is>
          <t>없음</t>
        </is>
      </c>
      <c r="J9" s="6" t="inlineStr"/>
    </row>
    <row r="10" ht="30" customHeight="1">
      <c r="A10" s="6" t="n">
        <v>5</v>
      </c>
      <c r="B10" s="6" t="inlineStr">
        <is>
          <t>TC-DMF0021-A005</t>
        </is>
      </c>
      <c r="C10" s="6" t="inlineStr">
        <is>
          <t>A.화면진입</t>
        </is>
      </c>
      <c r="D10" s="6" t="inlineStr">
        <is>
          <t>div40 진입 시 PJT·Plant Site 비활성</t>
        </is>
      </c>
      <c r="E10" s="6" t="inlineStr">
        <is>
          <t>40 권한 보유</t>
        </is>
      </c>
      <c r="F10" s="6" t="inlineStr">
        <is>
          <t>1) [Div.]=40 선택
2) [PJT]/[Plant Site] 상태 확인</t>
        </is>
      </c>
      <c r="G10" s="6" t="inlineStr">
        <is>
          <t>Division=40</t>
        </is>
      </c>
      <c r="H10" s="6" t="inlineStr">
        <is>
          <t>• PJT 입력·아이콘 비활성 + 클리어
• Plant Site 비활성 + 클리어</t>
        </is>
      </c>
      <c r="I10" s="6" t="inlineStr">
        <is>
          <t>없음</t>
        </is>
      </c>
      <c r="J10" s="6" t="inlineStr">
        <is>
          <t>AS-IS InitControls/Division 변경 1:1</t>
        </is>
      </c>
    </row>
    <row r="11" ht="18" customHeight="1">
      <c r="A11" s="6" t="n">
        <v>6</v>
      </c>
      <c r="B11" s="6" t="inlineStr">
        <is>
          <t>TC-DMF0021-A006</t>
        </is>
      </c>
      <c r="C11" s="6" t="inlineStr">
        <is>
          <t>A.화면진입</t>
        </is>
      </c>
      <c r="D11" s="6" t="inlineStr">
        <is>
          <t>조회조건 높이/배치 표준</t>
        </is>
      </c>
      <c r="E11" s="6" t="inlineStr">
        <is>
          <t>화면 진입</t>
        </is>
      </c>
      <c r="F11" s="6" t="inlineStr">
        <is>
          <t>1) 조회조건 객체 높이/배치 확인</t>
        </is>
      </c>
      <c r="G11" s="6" t="inlineStr">
        <is>
          <t>없음</t>
        </is>
      </c>
      <c r="H11" s="6" t="inlineStr">
        <is>
          <t>• 전 객체 36px, 1행 4개 배치</t>
        </is>
      </c>
      <c r="I11" s="6" t="inlineStr">
        <is>
          <t>없음</t>
        </is>
      </c>
      <c r="J11" s="6" t="inlineStr">
        <is>
          <t>hook #94</t>
        </is>
      </c>
    </row>
    <row r="12" ht="18" customHeight="1">
      <c r="A12" s="6" t="n">
        <v>7</v>
      </c>
      <c r="B12" s="6" t="inlineStr">
        <is>
          <t>TC-DMF0021-A007</t>
        </is>
      </c>
      <c r="C12" s="6" t="inlineStr">
        <is>
          <t>A.화면진입</t>
        </is>
      </c>
      <c r="D12" s="6" t="inlineStr">
        <is>
          <t>공통버튼 구성</t>
        </is>
      </c>
      <c r="E12" s="6" t="inlineStr">
        <is>
          <t>화면 진입</t>
        </is>
      </c>
      <c r="F12" s="6" t="inlineStr">
        <is>
          <t>1) 버튼 영역 확인</t>
        </is>
      </c>
      <c r="G12" s="6" t="inlineStr">
        <is>
          <t>없음</t>
        </is>
      </c>
      <c r="H12" s="6" t="inlineStr">
        <is>
          <t>• Search(F5)/Insert(F8)/Delete(F9)/Save(F7)/Excel + Sort/Filter/Condition/Reset + Column·Measure Setup</t>
        </is>
      </c>
      <c r="I12" s="6" t="inlineStr">
        <is>
          <t>없음</t>
        </is>
      </c>
      <c r="J12" s="6" t="inlineStr">
        <is>
          <t>BTN_MPG 등록 후 (실측 0건)</t>
        </is>
      </c>
    </row>
    <row r="13" ht="30" customHeight="1">
      <c r="A13" s="6" t="n">
        <v>8</v>
      </c>
      <c r="B13" s="6" t="inlineStr">
        <is>
          <t>TC-DMF0021-A008</t>
        </is>
      </c>
      <c r="C13" s="6" t="inlineStr">
        <is>
          <t>A.화면진입</t>
        </is>
      </c>
      <c r="D13" s="6" t="inlineStr">
        <is>
          <t>Cell Qty 부재 + Internal Txn 정책</t>
        </is>
      </c>
      <c r="E13" s="6" t="inlineStr">
        <is>
          <t>화면 진입</t>
        </is>
      </c>
      <c r="F13" s="6" t="inlineStr">
        <is>
          <t>1) 체크박스 영역 확인</t>
        </is>
      </c>
      <c r="G13" s="6" t="inlineStr">
        <is>
          <t>없음</t>
        </is>
      </c>
      <c r="H13" s="6" t="inlineStr">
        <is>
          <t>• Cell Qty 없음 (AS-IS dead)
• Include Internal Txn 노출 여부 = 확정 정책 반영</t>
        </is>
      </c>
      <c r="I13" s="6" t="inlineStr">
        <is>
          <t>없음</t>
        </is>
      </c>
      <c r="J13" s="6" t="inlineStr">
        <is>
          <t>Figma 에는 노출 — 정책 확정 필요</t>
        </is>
      </c>
    </row>
    <row r="14" ht="30" customHeight="1">
      <c r="A14" s="6" t="n">
        <v>9</v>
      </c>
      <c r="B14" s="6" t="inlineStr">
        <is>
          <t>TC-DMF0021-B001</t>
        </is>
      </c>
      <c r="C14" s="6" t="inlineStr">
        <is>
          <t>B.조건변경</t>
        </is>
      </c>
      <c r="D14" s="6" t="inlineStr">
        <is>
          <t>Division 변경 시 하위 일괄 초기화</t>
        </is>
      </c>
      <c r="E14" s="6" t="inlineStr">
        <is>
          <t>권한 사업부 2개+, 하위 조건 선택 상태</t>
        </is>
      </c>
      <c r="F14" s="6" t="inlineStr">
        <is>
          <t>1) [Div.] 변경
2) 하위 조건 확인</t>
        </is>
      </c>
      <c r="G14" s="6" t="inlineStr">
        <is>
          <t>예: 82 → 40</t>
        </is>
      </c>
      <c r="H14" s="6" t="inlineStr">
        <is>
          <t>• Team/End Customer/Sales Site/Plant Site/Biz Type 초기화(ALL)
• PJT/Model/Owner 텍스트 클리어</t>
        </is>
      </c>
      <c r="I14" s="6" t="inlineStr">
        <is>
          <t>없음</t>
        </is>
      </c>
      <c r="J14" s="6" t="inlineStr">
        <is>
          <t>cascade + 40 분기 동시 검증</t>
        </is>
      </c>
    </row>
    <row r="15" ht="18" customHeight="1">
      <c r="A15" s="6" t="n">
        <v>10</v>
      </c>
      <c r="B15" s="6" t="inlineStr">
        <is>
          <t>TC-DMF0021-B002</t>
        </is>
      </c>
      <c r="C15" s="6" t="inlineStr">
        <is>
          <t>B.조건변경</t>
        </is>
      </c>
      <c r="D15" s="6" t="inlineStr">
        <is>
          <t>Team 목록 = 선택 Division 소속</t>
        </is>
      </c>
      <c r="E15" s="6" t="inlineStr">
        <is>
          <t>Division 선택</t>
        </is>
      </c>
      <c r="F15" s="6" t="inlineStr">
        <is>
          <t>1) [Team] 펼침</t>
        </is>
      </c>
      <c r="G15" s="6" t="inlineStr">
        <is>
          <t>없음</t>
        </is>
      </c>
      <c r="H15" s="6" t="inlineStr">
        <is>
          <t>• 소속 팀만 표시</t>
        </is>
      </c>
      <c r="I15" s="6" t="inlineStr">
        <is>
          <t>없음</t>
        </is>
      </c>
      <c r="J15" s="6" t="inlineStr">
        <is>
          <t>BigFilter 'UserTeamByDivision' 상당</t>
        </is>
      </c>
    </row>
    <row r="16" ht="30" customHeight="1">
      <c r="A16" s="6" t="n">
        <v>11</v>
      </c>
      <c r="B16" s="6" t="inlineStr">
        <is>
          <t>TC-DMF0021-B003</t>
        </is>
      </c>
      <c r="C16" s="6" t="inlineStr">
        <is>
          <t>B.조건변경</t>
        </is>
      </c>
      <c r="D16" s="6" t="inlineStr">
        <is>
          <t>Team 변경 → End Customer/Sales Site 재조회</t>
        </is>
      </c>
      <c r="E16" s="6" t="inlineStr">
        <is>
          <t>Division/Team 선택</t>
        </is>
      </c>
      <c r="F16" s="6" t="inlineStr">
        <is>
          <t>1) [Team] 선택
2) 하위 확인</t>
        </is>
      </c>
      <c r="G16" s="6" t="inlineStr">
        <is>
          <t>Team 1건</t>
        </is>
      </c>
      <c r="H16" s="6" t="inlineStr">
        <is>
          <t>• End Customer/Sales Site 갱신</t>
        </is>
      </c>
      <c r="I16" s="6" t="inlineStr">
        <is>
          <t>없음</t>
        </is>
      </c>
      <c r="J16" s="6" t="inlineStr">
        <is>
          <t>81·82/40 경로 분기</t>
        </is>
      </c>
    </row>
    <row r="17" ht="18" customHeight="1">
      <c r="A17" s="6" t="n">
        <v>12</v>
      </c>
      <c r="B17" s="6" t="inlineStr">
        <is>
          <t>TC-DMF0021-B004</t>
        </is>
      </c>
      <c r="C17" s="6" t="inlineStr">
        <is>
          <t>B.조건변경</t>
        </is>
      </c>
      <c r="D17" s="6" t="inlineStr">
        <is>
          <t>End Customer 변경 → Sales Site 재조회</t>
        </is>
      </c>
      <c r="E17" s="6" t="inlineStr">
        <is>
          <t>상위 선택 완료</t>
        </is>
      </c>
      <c r="F17" s="6" t="inlineStr">
        <is>
          <t>1) [End Customer] 선택</t>
        </is>
      </c>
      <c r="G17" s="6" t="inlineStr">
        <is>
          <t>1건</t>
        </is>
      </c>
      <c r="H17" s="6" t="inlineStr">
        <is>
          <t>• Sales Site 초기화+재조회</t>
        </is>
      </c>
      <c r="I17" s="6" t="inlineStr">
        <is>
          <t>없음</t>
        </is>
      </c>
      <c r="J17" s="6" t="inlineStr"/>
    </row>
    <row r="18" ht="30" customHeight="1">
      <c r="A18" s="6" t="n">
        <v>13</v>
      </c>
      <c r="B18" s="6" t="inlineStr">
        <is>
          <t>TC-DMF0021-B005</t>
        </is>
      </c>
      <c r="C18" s="6" t="inlineStr">
        <is>
          <t>B.조건변경</t>
        </is>
      </c>
      <c r="D18" s="6" t="inlineStr">
        <is>
          <t>PJT/Model/Owner 검색 모달</t>
        </is>
      </c>
      <c r="E18" s="6" t="inlineStr">
        <is>
          <t>Div ≠ 40 (PJT 활성)</t>
        </is>
      </c>
      <c r="F18" s="6" t="inlineStr">
        <is>
          <t>1) 각 아이콘 클릭 (PJT 는 Enter 도)
2) 항목 선택 후 OK</t>
        </is>
      </c>
      <c r="G18" s="6" t="inlineStr">
        <is>
          <t>각 1건+</t>
        </is>
      </c>
      <c r="H18" s="6" t="inlineStr">
        <is>
          <t>• 공용 By-Division 모달 열림
• OK 시 입력창 반영 (멀티 ^)</t>
        </is>
      </c>
      <c r="I18" s="6" t="inlineStr">
        <is>
          <t>없음</t>
        </is>
      </c>
      <c r="J18" s="6" t="inlineStr">
        <is>
          <t>PJT: div40 은 모달 미호출</t>
        </is>
      </c>
    </row>
    <row r="19" ht="18" customHeight="1">
      <c r="A19" s="6" t="n">
        <v>14</v>
      </c>
      <c r="B19" s="6" t="inlineStr">
        <is>
          <t>TC-DMF0021-B006</t>
        </is>
      </c>
      <c r="C19" s="6" t="inlineStr">
        <is>
          <t>B.조건변경</t>
        </is>
      </c>
      <c r="D19" s="6" t="inlineStr">
        <is>
          <t>Bucket 전환 (D/W/M)</t>
        </is>
      </c>
      <c r="E19" s="6" t="inlineStr">
        <is>
          <t>조회 완료, 편집 변경 없음</t>
        </is>
      </c>
      <c r="F19" s="6" t="inlineStr">
        <is>
          <t>1) [Bucket] 차례 전환</t>
        </is>
      </c>
      <c r="G19" s="6" t="inlineStr">
        <is>
          <t>D→W→M</t>
        </is>
      </c>
      <c r="H19" s="6" t="inlineStr">
        <is>
          <t>• 버킷별 기간 컬럼 표시 전환 (E 영역 상세)</t>
        </is>
      </c>
      <c r="I19" s="6" t="inlineStr">
        <is>
          <t>없음</t>
        </is>
      </c>
      <c r="J19" s="6" t="inlineStr">
        <is>
          <t>편집 중 차단은 G 영역</t>
        </is>
      </c>
    </row>
    <row r="20" ht="18" customHeight="1">
      <c r="A20" s="6" t="n">
        <v>15</v>
      </c>
      <c r="B20" s="6" t="inlineStr">
        <is>
          <t>TC-DMF0021-C001</t>
        </is>
      </c>
      <c r="C20" s="6" t="inlineStr">
        <is>
          <t>C.조회</t>
        </is>
      </c>
      <c r="D20" s="6" t="inlineStr">
        <is>
          <t>Division 미선택 차단</t>
        </is>
      </c>
      <c r="E20" s="6" t="inlineStr">
        <is>
          <t>초기 상태</t>
        </is>
      </c>
      <c r="F20" s="6" t="inlineStr">
        <is>
          <t>1) Div. 공란 + [Search]</t>
        </is>
      </c>
      <c r="G20" s="6" t="inlineStr">
        <is>
          <t>Division 공란</t>
        </is>
      </c>
      <c r="H20" s="6" t="inlineStr">
        <is>
          <t>• 조회 미실행</t>
        </is>
      </c>
      <c r="I20" s="6" t="inlineStr">
        <is>
          <t>'Division 을 선택하세요.' (MSG00097)</t>
        </is>
      </c>
      <c r="J20" s="6" t="inlineStr"/>
    </row>
    <row r="21" ht="18" customHeight="1">
      <c r="A21" s="6" t="n">
        <v>16</v>
      </c>
      <c r="B21" s="6" t="inlineStr">
        <is>
          <t>TC-DMF0021-C002</t>
        </is>
      </c>
      <c r="C21" s="6" t="inlineStr">
        <is>
          <t>C.조회</t>
        </is>
      </c>
      <c r="D21" s="6" t="inlineStr">
        <is>
          <t>기간 역전 차단</t>
        </is>
      </c>
      <c r="E21" s="6" t="inlineStr">
        <is>
          <t>Division 선택</t>
        </is>
      </c>
      <c r="F21" s="6" t="inlineStr">
        <is>
          <t>1) 시작일 &gt; 종료일 + [Search]</t>
        </is>
      </c>
      <c r="G21" s="6" t="inlineStr">
        <is>
          <t>2026-08-01~2026-07-01</t>
        </is>
      </c>
      <c r="H21" s="6" t="inlineStr">
        <is>
          <t>• 조회 미실행</t>
        </is>
      </c>
      <c r="I21" s="6" t="inlineStr">
        <is>
          <t>MSG00108</t>
        </is>
      </c>
      <c r="J21" s="6" t="inlineStr"/>
    </row>
    <row r="22" ht="18" customHeight="1">
      <c r="A22" s="6" t="n">
        <v>17</v>
      </c>
      <c r="B22" s="6" t="inlineStr">
        <is>
          <t>TC-DMF0021-C003</t>
        </is>
      </c>
      <c r="C22" s="6" t="inlineStr">
        <is>
          <t>C.조회</t>
        </is>
      </c>
      <c r="D22" s="6" t="inlineStr">
        <is>
          <t>기간 3년 초과 보정+차단</t>
        </is>
      </c>
      <c r="E22" s="6" t="inlineStr">
        <is>
          <t>Division 선택</t>
        </is>
      </c>
      <c r="F22" s="6" t="inlineStr">
        <is>
          <t>1) 3년 초과 기간 + [Search]</t>
        </is>
      </c>
      <c r="G22" s="6" t="inlineStr">
        <is>
          <t>2026-01-01~2029-06-30</t>
        </is>
      </c>
      <c r="H22" s="6" t="inlineStr">
        <is>
          <t>• 종료일 자동 보정(시작+3년) 후 차단</t>
        </is>
      </c>
      <c r="I22" s="6" t="inlineStr">
        <is>
          <t>MSG00164</t>
        </is>
      </c>
      <c r="J22" s="6" t="inlineStr">
        <is>
          <t>AS-IS Value2 보정 1:1</t>
        </is>
      </c>
    </row>
    <row r="23" ht="18" customHeight="1">
      <c r="A23" s="6" t="n">
        <v>18</v>
      </c>
      <c r="B23" s="6" t="inlineStr">
        <is>
          <t>TC-DMF0021-C004</t>
        </is>
      </c>
      <c r="C23" s="6" t="inlineStr">
        <is>
          <t>C.조회</t>
        </is>
      </c>
      <c r="D23" s="6" t="inlineStr">
        <is>
          <t>조회 중 재조회 차단</t>
        </is>
      </c>
      <c r="E23" s="6" t="inlineStr">
        <is>
          <t>대용량 조회 중</t>
        </is>
      </c>
      <c r="F23" s="6" t="inlineStr">
        <is>
          <t>1) 조회 완료 전 [Search] 재클릭</t>
        </is>
      </c>
      <c r="G23" s="6" t="inlineStr">
        <is>
          <t>없음</t>
        </is>
      </c>
      <c r="H23" s="6" t="inlineStr">
        <is>
          <t>• 중복 실행 없음</t>
        </is>
      </c>
      <c r="I23" s="6" t="inlineStr">
        <is>
          <t>MSG00137 (또는 버튼 disable)</t>
        </is>
      </c>
      <c r="J23" s="6" t="inlineStr">
        <is>
          <t>AS-IS blnWork 1:1</t>
        </is>
      </c>
    </row>
    <row r="24" ht="45" customHeight="1">
      <c r="A24" s="6" t="n">
        <v>19</v>
      </c>
      <c r="B24" s="6" t="inlineStr">
        <is>
          <t>TC-DMF0021-C005</t>
        </is>
      </c>
      <c r="C24" s="6" t="inlineStr">
        <is>
          <t>C.조회</t>
        </is>
      </c>
      <c r="D24" s="6" t="inlineStr">
        <is>
          <t>정상 조회 — 3단 헤더+컬럼</t>
        </is>
      </c>
      <c r="E24" s="6" t="inlineStr">
        <is>
          <t>조건 입력</t>
        </is>
      </c>
      <c r="F24" s="6" t="inlineStr">
        <is>
          <t>1) [Search]</t>
        </is>
      </c>
      <c r="G24" s="6" t="inlineStr">
        <is>
          <t>유효 조건</t>
        </is>
      </c>
      <c r="H24" s="6" t="inlineStr">
        <is>
          <t>• 3단 헤더 (월 span/주 span/일+요일)
• 마스터 컬럼 = Column Setting 반영 (메타 66)
• SORT_ORDER_NO 정렬</t>
        </is>
      </c>
      <c r="I24" s="6" t="inlineStr">
        <is>
          <t>없음</t>
        </is>
      </c>
      <c r="J24" s="6" t="inlineStr"/>
    </row>
    <row r="25" ht="18" customHeight="1">
      <c r="A25" s="6" t="n">
        <v>20</v>
      </c>
      <c r="B25" s="6" t="inlineStr">
        <is>
          <t>TC-DMF0021-C006</t>
        </is>
      </c>
      <c r="C25" s="6" t="inlineStr">
        <is>
          <t>C.조회</t>
        </is>
      </c>
      <c r="D25" s="6" t="inlineStr">
        <is>
          <t>결과 0건</t>
        </is>
      </c>
      <c r="E25" s="6" t="inlineStr">
        <is>
          <t>무데이터 조건</t>
        </is>
      </c>
      <c r="F25" s="6" t="inlineStr">
        <is>
          <t>1) [Search]</t>
        </is>
      </c>
      <c r="G25" s="6" t="inlineStr">
        <is>
          <t>희귀 조건</t>
        </is>
      </c>
      <c r="H25" s="6" t="inlineStr">
        <is>
          <t>• 빈 그리드 (오류 없음)</t>
        </is>
      </c>
      <c r="I25" s="6" t="inlineStr">
        <is>
          <t>없음 (AS-IS 무통보 1:1)</t>
        </is>
      </c>
      <c r="J25" s="6" t="inlineStr"/>
    </row>
    <row r="26" ht="30" customHeight="1">
      <c r="A26" s="6" t="n">
        <v>21</v>
      </c>
      <c r="B26" s="6" t="inlineStr">
        <is>
          <t>TC-DMF0021-C007</t>
        </is>
      </c>
      <c r="C26" s="6" t="inlineStr">
        <is>
          <t>C.조회</t>
        </is>
      </c>
      <c r="D26" s="6" t="inlineStr">
        <is>
          <t>푸터 Sum</t>
        </is>
      </c>
      <c r="E26" s="6" t="inlineStr">
        <is>
          <t>조회 완료</t>
        </is>
      </c>
      <c r="F26" s="6" t="inlineStr">
        <is>
          <t>1) 하단 푸터 확인</t>
        </is>
      </c>
      <c r="G26" s="6" t="inlineStr">
        <is>
          <t>없음</t>
        </is>
      </c>
      <c r="H26" s="6" t="inlineStr">
        <is>
          <t>• 기간 컬럼별 합계 (숨김행 제외)
• 포맷 #,##0.###</t>
        </is>
      </c>
      <c r="I26" s="6" t="inlineStr">
        <is>
          <t>없음</t>
        </is>
      </c>
      <c r="J26" s="6" t="inlineStr">
        <is>
          <t>SumIgnoreHidden</t>
        </is>
      </c>
    </row>
    <row r="27" ht="30" customHeight="1">
      <c r="A27" s="6" t="n">
        <v>22</v>
      </c>
      <c r="B27" s="6" t="inlineStr">
        <is>
          <t>TC-DMF0021-D001</t>
        </is>
      </c>
      <c r="C27" s="6" t="inlineStr">
        <is>
          <t>D.체크박스</t>
        </is>
      </c>
      <c r="D27" s="6" t="inlineStr">
        <is>
          <t>Sum — 상위 버킷 표시</t>
        </is>
      </c>
      <c r="E27" s="6" t="inlineStr">
        <is>
          <t>Daily/Weekly 조회</t>
        </is>
      </c>
      <c r="F27" s="6" t="inlineStr">
        <is>
          <t>1) [Sum] 체크/해제</t>
        </is>
      </c>
      <c r="G27" s="6" t="inlineStr">
        <is>
          <t>토글</t>
        </is>
      </c>
      <c r="H27" s="6" t="inlineStr">
        <is>
          <t>• Daily: M_·W_ 표시 토글 / Weekly: M_ 토글
• SP 재호출 없음</t>
        </is>
      </c>
      <c r="I27" s="6" t="inlineStr">
        <is>
          <t>없음</t>
        </is>
      </c>
      <c r="J27" s="6" t="inlineStr">
        <is>
          <t>Monthly 무영향</t>
        </is>
      </c>
    </row>
    <row r="28" ht="18" customHeight="1">
      <c r="A28" s="6" t="n">
        <v>23</v>
      </c>
      <c r="B28" s="6" t="inlineStr">
        <is>
          <t>TC-DMF0021-D002</t>
        </is>
      </c>
      <c r="C28" s="6" t="inlineStr">
        <is>
          <t>D.체크박스</t>
        </is>
      </c>
      <c r="D28" s="6" t="inlineStr">
        <is>
          <t>Color ON — 과거 회색</t>
        </is>
      </c>
      <c r="E28" s="6" t="inlineStr">
        <is>
          <t>조회 완료</t>
        </is>
      </c>
      <c r="F28" s="6" t="inlineStr">
        <is>
          <t>1) [Color] 체크</t>
        </is>
      </c>
      <c r="G28" s="6" t="inlineStr">
        <is>
          <t>체크</t>
        </is>
      </c>
      <c r="H28" s="6" t="inlineStr">
        <is>
          <t>• 전주 이하 Gainsboro + 당월 White</t>
        </is>
      </c>
      <c r="I28" s="6" t="inlineStr">
        <is>
          <t>없음</t>
        </is>
      </c>
      <c r="J28" s="6" t="inlineStr"/>
    </row>
    <row r="29" ht="30" customHeight="1">
      <c r="A29" s="6" t="n">
        <v>24</v>
      </c>
      <c r="B29" s="6" t="inlineStr">
        <is>
          <t>TC-DMF0021-D003</t>
        </is>
      </c>
      <c r="C29" s="6" t="inlineStr">
        <is>
          <t>D.체크박스</t>
        </is>
      </c>
      <c r="D29" s="6" t="inlineStr">
        <is>
          <t>Color OFF — 당주 강조 (기본)</t>
        </is>
      </c>
      <c r="E29" s="6" t="inlineStr">
        <is>
          <t>조회 완료</t>
        </is>
      </c>
      <c r="F29" s="6" t="inlineStr">
        <is>
          <t>1) [Color] 해제</t>
        </is>
      </c>
      <c r="G29" s="6" t="inlineStr">
        <is>
          <t>해제</t>
        </is>
      </c>
      <c r="H29" s="6" t="inlineStr">
        <is>
          <t>• 당주 컬럼 Green Bevel 보더
• 당월/당주 헤더 Green Bold</t>
        </is>
      </c>
      <c r="I29" s="6" t="inlineStr">
        <is>
          <t>없음</t>
        </is>
      </c>
      <c r="J29" s="6" t="inlineStr"/>
    </row>
    <row r="30" ht="18" customHeight="1">
      <c r="A30" s="6" t="n">
        <v>25</v>
      </c>
      <c r="B30" s="6" t="inlineStr">
        <is>
          <t>TC-DMF0021-D004</t>
        </is>
      </c>
      <c r="C30" s="6" t="inlineStr">
        <is>
          <t>D.체크박스</t>
        </is>
      </c>
      <c r="D30" s="6" t="inlineStr">
        <is>
          <t>Include Internal Txn 조회 반영</t>
        </is>
      </c>
      <c r="E30" s="6" t="inlineStr">
        <is>
          <t>노출 정책 확정 후</t>
        </is>
      </c>
      <c r="F30" s="6" t="inlineStr">
        <is>
          <t>1) 체크 후 [Search]</t>
        </is>
      </c>
      <c r="G30" s="6" t="inlineStr">
        <is>
          <t>체크</t>
        </is>
      </c>
      <c r="H30" s="6" t="inlineStr">
        <is>
          <t>• p_internal_yn=Y 로 조회 (내부 거래 포함)</t>
        </is>
      </c>
      <c r="I30" s="6" t="inlineStr">
        <is>
          <t>없음</t>
        </is>
      </c>
      <c r="J30" s="6" t="inlineStr">
        <is>
          <t>AS-IS 는 숨김(항상 N)</t>
        </is>
      </c>
    </row>
    <row r="31" ht="18" customHeight="1">
      <c r="A31" s="6" t="n">
        <v>26</v>
      </c>
      <c r="B31" s="6" t="inlineStr">
        <is>
          <t>TC-DMF0021-E001</t>
        </is>
      </c>
      <c r="C31" s="6" t="inlineStr">
        <is>
          <t>E.그리드표시</t>
        </is>
      </c>
      <c r="D31" s="6" t="inlineStr">
        <is>
          <t>좌측 고정 (프리즈)</t>
        </is>
      </c>
      <c r="E31" s="6" t="inlineStr">
        <is>
          <t>조회 완료</t>
        </is>
      </c>
      <c r="F31" s="6" t="inlineStr">
        <is>
          <t>1) 가로 스크롤</t>
        </is>
      </c>
      <c r="G31" s="6" t="inlineStr">
        <is>
          <t>없음</t>
        </is>
      </c>
      <c r="H31" s="6" t="inlineStr">
        <is>
          <t>• MEASURE 컬럼까지 고정, 기간 컬럼만 스크롤</t>
        </is>
      </c>
      <c r="I31" s="6" t="inlineStr">
        <is>
          <t>없음</t>
        </is>
      </c>
      <c r="J31" s="6" t="inlineStr">
        <is>
          <t>Freeze=MEASURE+1</t>
        </is>
      </c>
    </row>
    <row r="32" ht="18" customHeight="1">
      <c r="A32" s="6" t="n">
        <v>27</v>
      </c>
      <c r="B32" s="6" t="inlineStr">
        <is>
          <t>TC-DMF0021-E002</t>
        </is>
      </c>
      <c r="C32" s="6" t="inlineStr">
        <is>
          <t>E.그리드표시</t>
        </is>
      </c>
      <c r="D32" s="6" t="inlineStr">
        <is>
          <t>키컬럼 세로 머지 + sticky</t>
        </is>
      </c>
      <c r="E32" s="6" t="inlineStr">
        <is>
          <t>조회 완료</t>
        </is>
      </c>
      <c r="F32" s="6" t="inlineStr">
        <is>
          <t>1) 세로 스크롤</t>
        </is>
      </c>
      <c r="G32" s="6" t="inlineStr">
        <is>
          <t>없음</t>
        </is>
      </c>
      <c r="H32" s="6" t="inlineStr">
        <is>
          <t>• 동일 키 세로 머지 + 스크롤 시 유지</t>
        </is>
      </c>
      <c r="I32" s="6" t="inlineStr">
        <is>
          <t>없음</t>
        </is>
      </c>
      <c r="J32" s="6" t="inlineStr">
        <is>
          <t>hook #38</t>
        </is>
      </c>
    </row>
    <row r="33" ht="18" customHeight="1">
      <c r="A33" s="6" t="n">
        <v>28</v>
      </c>
      <c r="B33" s="6" t="inlineStr">
        <is>
          <t>TC-DMF0021-E003</t>
        </is>
      </c>
      <c r="C33" s="6" t="inlineStr">
        <is>
          <t>E.그리드표시</t>
        </is>
      </c>
      <c r="D33" s="6" t="inlineStr">
        <is>
          <t>SAT/SUN 헤더 색 (Daily)</t>
        </is>
      </c>
      <c r="E33" s="6" t="inlineStr">
        <is>
          <t>Daily 조회</t>
        </is>
      </c>
      <c r="F33" s="6" t="inlineStr">
        <is>
          <t>1) 일자 헤더 확인</t>
        </is>
      </c>
      <c r="G33" s="6" t="inlineStr">
        <is>
          <t>없음</t>
        </is>
      </c>
      <c r="H33" s="6" t="inlineStr">
        <is>
          <t>• 토=Blue / 일=Red</t>
        </is>
      </c>
      <c r="I33" s="6" t="inlineStr">
        <is>
          <t>없음</t>
        </is>
      </c>
      <c r="J33" s="6" t="inlineStr"/>
    </row>
    <row r="34" ht="18" customHeight="1">
      <c r="A34" s="6" t="n">
        <v>29</v>
      </c>
      <c r="B34" s="6" t="inlineStr">
        <is>
          <t>TC-DMF0021-E004</t>
        </is>
      </c>
      <c r="C34" s="6" t="inlineStr">
        <is>
          <t>E.그리드표시</t>
        </is>
      </c>
      <c r="D34" s="6" t="inlineStr">
        <is>
          <t>M_ 헤더 더블클릭 드릴</t>
        </is>
      </c>
      <c r="E34" s="6" t="inlineStr">
        <is>
          <t>Monthly+Sum 또는 Daily</t>
        </is>
      </c>
      <c r="F34" s="6" t="inlineStr">
        <is>
          <t>1) 월(SUM) 헤더 더블클릭</t>
        </is>
      </c>
      <c r="G34" s="6" t="inlineStr">
        <is>
          <t>없음</t>
        </is>
      </c>
      <c r="H34" s="6" t="inlineStr">
        <is>
          <t>• 해당 월 W_ 펼침/접힘 (+Daily 시 D_ 접기)</t>
        </is>
      </c>
      <c r="I34" s="6" t="inlineStr">
        <is>
          <t>없음</t>
        </is>
      </c>
      <c r="J34" s="6" t="inlineStr"/>
    </row>
    <row r="35" ht="18" customHeight="1">
      <c r="A35" s="6" t="n">
        <v>30</v>
      </c>
      <c r="B35" s="6" t="inlineStr">
        <is>
          <t>TC-DMF0021-E005</t>
        </is>
      </c>
      <c r="C35" s="6" t="inlineStr">
        <is>
          <t>E.그리드표시</t>
        </is>
      </c>
      <c r="D35" s="6" t="inlineStr">
        <is>
          <t>W_ 헤더 더블클릭 드릴 (Daily)</t>
        </is>
      </c>
      <c r="E35" s="6" t="inlineStr">
        <is>
          <t>Daily 조회</t>
        </is>
      </c>
      <c r="F35" s="6" t="inlineStr">
        <is>
          <t>1) 주 헤더 더블클릭</t>
        </is>
      </c>
      <c r="G35" s="6" t="inlineStr">
        <is>
          <t>없음</t>
        </is>
      </c>
      <c r="H35" s="6" t="inlineStr">
        <is>
          <t>• 해당 주 D_ 토글</t>
        </is>
      </c>
      <c r="I35" s="6" t="inlineStr">
        <is>
          <t>없음</t>
        </is>
      </c>
      <c r="J35" s="6" t="inlineStr"/>
    </row>
    <row r="36" ht="18" customHeight="1">
      <c r="A36" s="6" t="n">
        <v>31</v>
      </c>
      <c r="B36" s="6" t="inlineStr">
        <is>
          <t>TC-DMF0021-E006</t>
        </is>
      </c>
      <c r="C36" s="6" t="inlineStr">
        <is>
          <t>E.그리드표시</t>
        </is>
      </c>
      <c r="D36" s="6" t="inlineStr">
        <is>
          <t>NOTATION 숫자 포맷</t>
        </is>
      </c>
      <c r="E36" s="6" t="inlineStr">
        <is>
          <t>82 등 조회</t>
        </is>
      </c>
      <c r="F36" s="6" t="inlineStr">
        <is>
          <t>1) 메저별 수치 표기 확인</t>
        </is>
      </c>
      <c r="G36" s="6" t="inlineStr">
        <is>
          <t>없음</t>
        </is>
      </c>
      <c r="H36" s="6" t="inlineStr">
        <is>
          <t>• INTEGER/POINT/POINT3 행별 포맷 (82 소수)</t>
        </is>
      </c>
      <c r="I36" s="6" t="inlineStr">
        <is>
          <t>없음</t>
        </is>
      </c>
      <c r="J36" s="6" t="inlineStr">
        <is>
          <t>E20231128-000738</t>
        </is>
      </c>
    </row>
    <row r="37" ht="18" customHeight="1">
      <c r="A37" s="6" t="n">
        <v>32</v>
      </c>
      <c r="B37" s="6" t="inlineStr">
        <is>
          <t>TC-DMF0021-F001</t>
        </is>
      </c>
      <c r="C37" s="6" t="inlineStr">
        <is>
          <t>F.그리드편집</t>
        </is>
      </c>
      <c r="D37" s="6" t="inlineStr">
        <is>
          <t>Daily 편집 차단</t>
        </is>
      </c>
      <c r="E37" s="6" t="inlineStr">
        <is>
          <t>Daily 조회</t>
        </is>
      </c>
      <c r="F37" s="6" t="inlineStr">
        <is>
          <t>1) 셀 편집 시도</t>
        </is>
      </c>
      <c r="G37" s="6" t="inlineStr">
        <is>
          <t>숫자</t>
        </is>
      </c>
      <c r="H37" s="6" t="inlineStr">
        <is>
          <t>• 편집 불가 (D_ 항상 잠금)</t>
        </is>
      </c>
      <c r="I37" s="6" t="inlineStr">
        <is>
          <t>(AS-IS Edit 진입 MSG00361)</t>
        </is>
      </c>
      <c r="J37" s="6" t="inlineStr">
        <is>
          <t>MSG00361 본문 [TODO]</t>
        </is>
      </c>
    </row>
    <row r="38" ht="30" customHeight="1">
      <c r="A38" s="6" t="n">
        <v>33</v>
      </c>
      <c r="B38" s="6" t="inlineStr">
        <is>
          <t>TC-DMF0021-F002</t>
        </is>
      </c>
      <c r="C38" s="6" t="inlineStr">
        <is>
          <t>F.그리드편집</t>
        </is>
      </c>
      <c r="D38" s="6" t="inlineStr">
        <is>
          <t>편집 시작점 — 40 당월 / 타 익월</t>
        </is>
      </c>
      <c r="E38" s="6" t="inlineStr">
        <is>
          <t>40·82 각 조회 (Monthly)</t>
        </is>
      </c>
      <c r="F38" s="6" t="inlineStr">
        <is>
          <t>1) 당월/익월 셀 편집 시도</t>
        </is>
      </c>
      <c r="G38" s="6" t="inlineStr">
        <is>
          <t>숫자</t>
        </is>
      </c>
      <c r="H38" s="6" t="inlineStr">
        <is>
          <t>• 40: 당월부터 가능
• 82/81: 당월 잠금, 익월(M+1)부터</t>
        </is>
      </c>
      <c r="I38" s="6" t="inlineStr">
        <is>
          <t>없음</t>
        </is>
      </c>
      <c r="J38" s="6" t="inlineStr">
        <is>
          <t>E20250520-000605</t>
        </is>
      </c>
    </row>
    <row r="39" ht="18" customHeight="1">
      <c r="A39" s="6" t="n">
        <v>34</v>
      </c>
      <c r="B39" s="6" t="inlineStr">
        <is>
          <t>TC-DMF0021-F003</t>
        </is>
      </c>
      <c r="C39" s="6" t="inlineStr">
        <is>
          <t>F.그리드편집</t>
        </is>
      </c>
      <c r="D39" s="6" t="inlineStr">
        <is>
          <t>권한·행 필터</t>
        </is>
      </c>
      <c r="E39" s="6" t="inlineStr">
        <is>
          <t>권한 상이 계정 2개</t>
        </is>
      </c>
      <c r="F39" s="6" t="inlineStr">
        <is>
          <t>1) 편집 가능 행 확인</t>
        </is>
      </c>
      <c r="G39" s="6" t="inlineStr">
        <is>
          <t>없음</t>
        </is>
      </c>
      <c r="H39" s="6" t="inlineStr">
        <is>
          <t>• SALES_PLAN_ADJUST_YN=N_Y + SalesAmt_LOC(권한)/Catch_Up/RTF_SYS_RP(권한) 행만</t>
        </is>
      </c>
      <c r="I39" s="6" t="inlineStr">
        <is>
          <t>없음</t>
        </is>
      </c>
      <c r="J39" s="6" t="inlineStr">
        <is>
          <t>조회 SP Tables[2]</t>
        </is>
      </c>
    </row>
    <row r="40" ht="18" customHeight="1">
      <c r="A40" s="6" t="n">
        <v>35</v>
      </c>
      <c r="B40" s="6" t="inlineStr">
        <is>
          <t>TC-DMF0021-F004</t>
        </is>
      </c>
      <c r="C40" s="6" t="inlineStr">
        <is>
          <t>F.그리드편집</t>
        </is>
      </c>
      <c r="D40" s="6" t="inlineStr">
        <is>
          <t>버킷 교차 잠금</t>
        </is>
      </c>
      <c r="E40" s="6" t="inlineStr">
        <is>
          <t>Monthly/Weekly 각</t>
        </is>
      </c>
      <c r="F40" s="6" t="inlineStr">
        <is>
          <t>1) Sum 표시 상태에서 타 버킷 셀 편집</t>
        </is>
      </c>
      <c r="G40" s="6" t="inlineStr">
        <is>
          <t>숫자</t>
        </is>
      </c>
      <c r="H40" s="6" t="inlineStr">
        <is>
          <t>• Monthly 때 W_ 잠금 / Weekly 때 M_ 잠금</t>
        </is>
      </c>
      <c r="I40" s="6" t="inlineStr">
        <is>
          <t>없음</t>
        </is>
      </c>
      <c r="J40" s="6" t="inlineStr">
        <is>
          <t>이중 입력 방지</t>
        </is>
      </c>
    </row>
    <row r="41" ht="60" customHeight="1">
      <c r="A41" s="6" t="n">
        <v>36</v>
      </c>
      <c r="B41" s="6" t="inlineStr">
        <is>
          <t>TC-DMF0021-F005</t>
        </is>
      </c>
      <c r="C41" s="6" t="inlineStr">
        <is>
          <t>F.그리드편집</t>
        </is>
      </c>
      <c r="D41" s="6" t="inlineStr">
        <is>
          <t>Catch_Up 특수 (40)</t>
        </is>
      </c>
      <c r="E41" s="6" t="inlineStr">
        <is>
          <t>40 조회, Catch_Up 행</t>
        </is>
      </c>
      <c r="F41" s="6" t="inlineStr">
        <is>
          <t>1) MEASURE=Catch_Up 선택
2) 각 컬럼 상태 확인</t>
        </is>
      </c>
      <c r="G41" s="6" t="inlineStr">
        <is>
          <t>Catch_Up</t>
        </is>
      </c>
      <c r="H41" s="6" t="inlineStr">
        <is>
          <t>• Model=팝업셀 전환+클리어
• DomExp/Incoterms/FcstType 콤보 개방(필수)
• Team 잠금
• M+3 이후만 입력</t>
        </is>
      </c>
      <c r="I41" s="6" t="inlineStr">
        <is>
          <t>없음</t>
        </is>
      </c>
      <c r="J41" s="6" t="inlineStr">
        <is>
          <t>SalesAmt_LOC 복귀 시 역전환+ETC 고정</t>
        </is>
      </c>
    </row>
    <row r="42" ht="30" customHeight="1">
      <c r="A42" s="6" t="n">
        <v>37</v>
      </c>
      <c r="B42" s="6" t="inlineStr">
        <is>
          <t>TC-DMF0021-F006</t>
        </is>
      </c>
      <c r="C42" s="6" t="inlineStr">
        <is>
          <t>F.그리드편집</t>
        </is>
      </c>
      <c r="D42" s="6" t="inlineStr">
        <is>
          <t>RTF_SYS_RP 음수/정수</t>
        </is>
      </c>
      <c r="E42" s="6" t="inlineStr">
        <is>
          <t>RTF_SYS_RP 편집 행</t>
        </is>
      </c>
      <c r="F42" s="6" t="inlineStr">
        <is>
          <t>1) 음수/소수 입력 후 이탈</t>
        </is>
      </c>
      <c r="G42" s="6" t="inlineStr">
        <is>
          <t>-5 / 3.7</t>
        </is>
      </c>
      <c r="H42" s="6" t="inlineStr">
        <is>
          <t>• 음수 삭제 (FcstType=RMA 만 허용)
• 소수 절삭(정수)</t>
        </is>
      </c>
      <c r="I42" s="6" t="inlineStr">
        <is>
          <t>없음</t>
        </is>
      </c>
      <c r="J42" s="6" t="inlineStr">
        <is>
          <t>PJ2025-50017</t>
        </is>
      </c>
    </row>
    <row r="43" ht="18" customHeight="1">
      <c r="A43" s="6" t="n">
        <v>38</v>
      </c>
      <c r="B43" s="6" t="inlineStr">
        <is>
          <t>TC-DMF0021-F007</t>
        </is>
      </c>
      <c r="C43" s="6" t="inlineStr">
        <is>
          <t>F.그리드편집</t>
        </is>
      </c>
      <c r="D43" s="6" t="inlineStr">
        <is>
          <t>SalesAmt_LOC 소수 3자리</t>
        </is>
      </c>
      <c r="E43" s="6" t="inlineStr">
        <is>
          <t>편집 행</t>
        </is>
      </c>
      <c r="F43" s="6" t="inlineStr">
        <is>
          <t>1) 수치 입력 후 이탈</t>
        </is>
      </c>
      <c r="G43" s="6" t="inlineStr">
        <is>
          <t>1234.5678</t>
        </is>
      </c>
      <c r="H43" s="6" t="inlineStr">
        <is>
          <t>• #,##0.000 포맷</t>
        </is>
      </c>
      <c r="I43" s="6" t="inlineStr">
        <is>
          <t>없음</t>
        </is>
      </c>
      <c r="J43" s="6" t="inlineStr"/>
    </row>
    <row r="44" ht="30" customHeight="1">
      <c r="A44" s="6" t="n">
        <v>39</v>
      </c>
      <c r="B44" s="6" t="inlineStr">
        <is>
          <t>TC-DMF0021-F008</t>
        </is>
      </c>
      <c r="C44" s="6" t="inlineStr">
        <is>
          <t>F.그리드편집</t>
        </is>
      </c>
      <c r="D44" s="6" t="inlineStr">
        <is>
          <t>변경 마킹+무효 입력</t>
        </is>
      </c>
      <c r="E44" s="6" t="inlineStr">
        <is>
          <t>편집 중</t>
        </is>
      </c>
      <c r="F44" s="6" t="inlineStr">
        <is>
          <t>1) 셀 수정
2) MEASURE 빈 행 입력</t>
        </is>
      </c>
      <c r="G44" s="6" t="inlineStr">
        <is>
          <t>숫자</t>
        </is>
      </c>
      <c r="H44" s="6" t="inlineStr">
        <is>
          <t>• 변경 셀 Red 표시 (저장 대상)
• MEASURE 빈 행 입력 롤백</t>
        </is>
      </c>
      <c r="I44" s="6" t="inlineStr">
        <is>
          <t>없음</t>
        </is>
      </c>
      <c r="J44" s="6" t="inlineStr"/>
    </row>
    <row r="45" ht="18" customHeight="1">
      <c r="A45" s="6" t="n">
        <v>40</v>
      </c>
      <c r="B45" s="6" t="inlineStr">
        <is>
          <t>TC-DMF0021-G001</t>
        </is>
      </c>
      <c r="C45" s="6" t="inlineStr">
        <is>
          <t>G.행조작저장</t>
        </is>
      </c>
      <c r="D45" s="6" t="inlineStr">
        <is>
          <t>Insert 권한 가드</t>
        </is>
      </c>
      <c r="E45" s="6" t="inlineStr">
        <is>
          <t>무권한/유권한 계정</t>
        </is>
      </c>
      <c r="F45" s="6" t="inlineStr">
        <is>
          <t>1) [Insert]</t>
        </is>
      </c>
      <c r="G45" s="6" t="inlineStr">
        <is>
          <t>없음</t>
        </is>
      </c>
      <c r="H45" s="6" t="inlineStr">
        <is>
          <t>• EDIT_AUTH_SalesAmt_LOC 없으면 무동작(또는 disable)</t>
        </is>
      </c>
      <c r="I45" s="6" t="inlineStr">
        <is>
          <t>없음</t>
        </is>
      </c>
      <c r="J45" s="6" t="inlineStr"/>
    </row>
    <row r="46" ht="30" customHeight="1">
      <c r="A46" s="6" t="n">
        <v>41</v>
      </c>
      <c r="B46" s="6" t="inlineStr">
        <is>
          <t>TC-DMF0021-G002</t>
        </is>
      </c>
      <c r="C46" s="6" t="inlineStr">
        <is>
          <t>G.행조작저장</t>
        </is>
      </c>
      <c r="D46" s="6" t="inlineStr">
        <is>
          <t>Insert 기본값</t>
        </is>
      </c>
      <c r="E46" s="6" t="inlineStr">
        <is>
          <t>유권한, 편집 상태</t>
        </is>
      </c>
      <c r="F46" s="6" t="inlineStr">
        <is>
          <t>1) [Insert]
2) 신규 행 확인</t>
        </is>
      </c>
      <c r="G46" s="6" t="inlineStr">
        <is>
          <t>없음</t>
        </is>
      </c>
      <c r="H46" s="6" t="inlineStr">
        <is>
          <t>• Division 자동+잠금 / MEASURE=SalesAmt_LOC / FCST_TYPE=ETC 고정
• 참조 컬럼 잠금 / Team 은 40만 입력</t>
        </is>
      </c>
      <c r="I46" s="6" t="inlineStr">
        <is>
          <t>없음</t>
        </is>
      </c>
      <c r="J46" s="6" t="inlineStr"/>
    </row>
    <row r="47" ht="30" customHeight="1">
      <c r="A47" s="6" t="n">
        <v>42</v>
      </c>
      <c r="B47" s="6" t="inlineStr">
        <is>
          <t>TC-DMF0021-G003</t>
        </is>
      </c>
      <c r="C47" s="6" t="inlineStr">
        <is>
          <t>G.행조작저장</t>
        </is>
      </c>
      <c r="D47" s="6" t="inlineStr">
        <is>
          <t>Insert 행 cascade</t>
        </is>
      </c>
      <c r="E47" s="6" t="inlineStr">
        <is>
          <t>신규 행</t>
        </is>
      </c>
      <c r="F47" s="6" t="inlineStr">
        <is>
          <t>1) EndCustomer→Site→Model 차례 선택</t>
        </is>
      </c>
      <c r="G47" s="6" t="inlineStr">
        <is>
          <t>각 1건</t>
        </is>
      </c>
      <c r="H47" s="6" t="inlineStr">
        <is>
          <t>• 하위 콤보 재바인딩 + 계단 clear
• Model 선택 시 Model Type 자동세팅 + Cell Prod Site 재바인딩</t>
        </is>
      </c>
      <c r="I47" s="6" t="inlineStr">
        <is>
          <t>없음</t>
        </is>
      </c>
      <c r="J47" s="6" t="inlineStr">
        <is>
          <t>hook #59 §5-G</t>
        </is>
      </c>
    </row>
    <row r="48" ht="18" customHeight="1">
      <c r="A48" s="6" t="n">
        <v>43</v>
      </c>
      <c r="B48" s="6" t="inlineStr">
        <is>
          <t>TC-DMF0021-G004</t>
        </is>
      </c>
      <c r="C48" s="6" t="inlineStr">
        <is>
          <t>G.행조작저장</t>
        </is>
      </c>
      <c r="D48" s="6" t="inlineStr">
        <is>
          <t>Delete = I 행만</t>
        </is>
      </c>
      <c r="E48" s="6" t="inlineStr">
        <is>
          <t>신규+기존 행</t>
        </is>
      </c>
      <c r="F48" s="6" t="inlineStr">
        <is>
          <t>1) 각 행 선택 후 [Delete]</t>
        </is>
      </c>
      <c r="G48" s="6" t="inlineStr">
        <is>
          <t>없음</t>
        </is>
      </c>
      <c r="H48" s="6" t="inlineStr">
        <is>
          <t>• 신규(I) 행만 삭제, 기존 행 무반응</t>
        </is>
      </c>
      <c r="I48" s="6" t="inlineStr">
        <is>
          <t>없음</t>
        </is>
      </c>
      <c r="J48" s="6" t="inlineStr">
        <is>
          <t>기존 삭제 = 수량 0 저장(D 전환)</t>
        </is>
      </c>
    </row>
    <row r="49" ht="30" customHeight="1">
      <c r="A49" s="6" t="n">
        <v>44</v>
      </c>
      <c r="B49" s="6" t="inlineStr">
        <is>
          <t>TC-DMF0021-G005</t>
        </is>
      </c>
      <c r="C49" s="6" t="inlineStr">
        <is>
          <t>G.행조작저장</t>
        </is>
      </c>
      <c r="D49" s="6" t="inlineStr">
        <is>
          <t>저장 필수값 (행별)</t>
        </is>
      </c>
      <c r="E49" s="6" t="inlineStr">
        <is>
          <t>신규 행 필수 누락</t>
        </is>
      </c>
      <c r="F49" s="6" t="inlineStr">
        <is>
          <t>1) 필수 누락 상태 [Save]</t>
        </is>
      </c>
      <c r="G49" s="6" t="inlineStr">
        <is>
          <t>누락 조합 13종</t>
        </is>
      </c>
      <c r="H49" s="6" t="inlineStr">
        <is>
          <t>• 저장 차단 + 해당 셀 포커스</t>
        </is>
      </c>
      <c r="I49" s="6" t="inlineStr">
        <is>
          <t>'{0} 값은 필수 입력 항목입니다.' (MSG00002/00429)</t>
        </is>
      </c>
      <c r="J49" s="6" t="inlineStr">
        <is>
          <t>division 분기 (40: EndCustomer40·Team·CellProdSite / 81: TEXT / ≠40: Project)</t>
        </is>
      </c>
    </row>
    <row r="50" ht="45" customHeight="1">
      <c r="A50" s="6" t="n">
        <v>45</v>
      </c>
      <c r="B50" s="6" t="inlineStr">
        <is>
          <t>TC-DMF0021-G006</t>
        </is>
      </c>
      <c r="C50" s="6" t="inlineStr">
        <is>
          <t>G.행조작저장</t>
        </is>
      </c>
      <c r="D50" s="6" t="inlineStr">
        <is>
          <t>저장 payload 규칙</t>
        </is>
      </c>
      <c r="E50" s="6" t="inlineStr">
        <is>
          <t>편집 여러 셀</t>
        </is>
      </c>
      <c r="F50" s="6" t="inlineStr">
        <is>
          <t>1) 일부만 수정 후 [Save]
2) SQL_LOG 확인</t>
        </is>
      </c>
      <c r="G50" s="6" t="inlineStr">
        <is>
          <t>수정 2셀</t>
        </is>
      </c>
      <c r="H50" s="6" t="inlineStr">
        <is>
          <t>• Red 셀만 '^' bulk 전송
• D_ 및 버킷 불일치(W_↔M_) 제외
• 빈값→0, 0 은 action D 전환</t>
        </is>
      </c>
      <c r="I50" s="6" t="inlineStr">
        <is>
          <t>없음</t>
        </is>
      </c>
      <c r="J50" s="6" t="inlineStr">
        <is>
          <t>hook #99</t>
        </is>
      </c>
    </row>
    <row r="51" ht="18" customHeight="1">
      <c r="A51" s="6" t="n">
        <v>46</v>
      </c>
      <c r="B51" s="6" t="inlineStr">
        <is>
          <t>TC-DMF0021-G007</t>
        </is>
      </c>
      <c r="C51" s="6" t="inlineStr">
        <is>
          <t>G.행조작저장</t>
        </is>
      </c>
      <c r="D51" s="6" t="inlineStr">
        <is>
          <t>Catch_Up 음수 / 변경 0건</t>
        </is>
      </c>
      <c r="E51" s="6" t="inlineStr">
        <is>
          <t>Catch_Up 행 / 무변경</t>
        </is>
      </c>
      <c r="F51" s="6" t="inlineStr">
        <is>
          <t>1) 음수 입력 저장 / 변경 없이 저장</t>
        </is>
      </c>
      <c r="G51" s="6" t="inlineStr">
        <is>
          <t>-3 / 없음</t>
        </is>
      </c>
      <c r="H51" s="6" t="inlineStr">
        <is>
          <t>• 각각 차단</t>
        </is>
      </c>
      <c r="I51" s="6" t="inlineStr">
        <is>
          <t>MSG00085 / MSG00146 ([TODO] 본문)</t>
        </is>
      </c>
      <c r="J51" s="6" t="inlineStr"/>
    </row>
    <row r="52" ht="30" customHeight="1">
      <c r="A52" s="6" t="n">
        <v>47</v>
      </c>
      <c r="B52" s="6" t="inlineStr">
        <is>
          <t>TC-DMF0021-G008</t>
        </is>
      </c>
      <c r="C52" s="6" t="inlineStr">
        <is>
          <t>G.행조작저장</t>
        </is>
      </c>
      <c r="D52" s="6" t="inlineStr">
        <is>
          <t>저장 성공 + 위치 복원</t>
        </is>
      </c>
      <c r="E52" s="6" t="inlineStr">
        <is>
          <t>수정 후 저장</t>
        </is>
      </c>
      <c r="F52" s="6" t="inlineStr">
        <is>
          <t>1) [Save]
2) 완료 확인</t>
        </is>
      </c>
      <c r="G52" s="6" t="inlineStr">
        <is>
          <t>유효 수정</t>
        </is>
      </c>
      <c r="H52" s="6" t="inlineStr">
        <is>
          <t>• 건수 안내 + 자동 재조회
• 마지막 수정 셀 위치 복원 (Insert 시 전체 재조회)</t>
        </is>
      </c>
      <c r="I52" s="6" t="inlineStr">
        <is>
          <t>MSG00004 ({0}건)</t>
        </is>
      </c>
      <c r="J52" s="6" t="inlineStr"/>
    </row>
    <row r="53" ht="18" customHeight="1">
      <c r="A53" s="6" t="n">
        <v>48</v>
      </c>
      <c r="B53" s="6" t="inlineStr">
        <is>
          <t>TC-DMF0021-G009</t>
        </is>
      </c>
      <c r="C53" s="6" t="inlineStr">
        <is>
          <t>G.행조작저장</t>
        </is>
      </c>
      <c r="D53" s="6" t="inlineStr">
        <is>
          <t>SP 오류 표시</t>
        </is>
      </c>
      <c r="E53" s="6" t="inlineStr">
        <is>
          <t>중복 조합 저장</t>
        </is>
      </c>
      <c r="F53" s="6" t="inlineStr">
        <is>
          <t>1) 중복 키 2행 [Save]</t>
        </is>
      </c>
      <c r="G53" s="6" t="inlineStr">
        <is>
          <t>중복</t>
        </is>
      </c>
      <c r="H53" s="6" t="inlineStr">
        <is>
          <t>• SP 반환 '코드^메시지' 분해 표시</t>
        </is>
      </c>
      <c r="I53" s="6" t="inlineStr">
        <is>
          <t>(SP 메시지 — 중복 MSG00043 계열)</t>
        </is>
      </c>
      <c r="J53" s="6" t="inlineStr">
        <is>
          <t>중복체크 = SP 내 수행</t>
        </is>
      </c>
    </row>
    <row r="54" ht="18" customHeight="1">
      <c r="A54" s="6" t="n">
        <v>49</v>
      </c>
      <c r="B54" s="6" t="inlineStr">
        <is>
          <t>TC-DMF0021-G010</t>
        </is>
      </c>
      <c r="C54" s="6" t="inlineStr">
        <is>
          <t>G.행조작저장</t>
        </is>
      </c>
      <c r="D54" s="6" t="inlineStr">
        <is>
          <t>편집 중 Bucket 변경 차단</t>
        </is>
      </c>
      <c r="E54" s="6" t="inlineStr">
        <is>
          <t>편집 상태</t>
        </is>
      </c>
      <c r="F54" s="6" t="inlineStr">
        <is>
          <t>1) [Bucket] 클릭</t>
        </is>
      </c>
      <c r="G54" s="6" t="inlineStr">
        <is>
          <t>없음</t>
        </is>
      </c>
      <c r="H54" s="6" t="inlineStr">
        <is>
          <t>• 변경 차단</t>
        </is>
      </c>
      <c r="I54" s="6" t="inlineStr">
        <is>
          <t>MSG00227</t>
        </is>
      </c>
      <c r="J54" s="6" t="inlineStr"/>
    </row>
    <row r="55" ht="30" customHeight="1">
      <c r="A55" s="6" t="n">
        <v>50</v>
      </c>
      <c r="B55" s="6" t="inlineStr">
        <is>
          <t>TC-DMF0021-H001</t>
        </is>
      </c>
      <c r="C55" s="6" t="inlineStr">
        <is>
          <t>H.팝업</t>
        </is>
      </c>
      <c r="D55" s="6" t="inlineStr">
        <is>
          <t>Project 팝업 (조건/셀)</t>
        </is>
      </c>
      <c r="E55" s="6" t="inlineStr">
        <is>
          <t>Div=82, 신규 I 행</t>
        </is>
      </c>
      <c r="F55" s="6" t="inlineStr">
        <is>
          <t>1) 조회조건 PJT 아이콘
2) 그리드 PROJECT_CODE 셀 더블클릭</t>
        </is>
      </c>
      <c r="G55" s="6" t="inlineStr">
        <is>
          <t>1건 선택</t>
        </is>
      </c>
      <c r="H55" s="6" t="inlineStr">
        <is>
          <t>• 조건: txtProject 반영
• 셀: Code/Name/Status/BizType/Owner 5필드 자동세팅 + Model 클리어</t>
        </is>
      </c>
      <c r="I55" s="6" t="inlineStr">
        <is>
          <t>없음</t>
        </is>
      </c>
      <c r="J55" s="6" t="inlineStr">
        <is>
          <t>40 은 미호출 / I 행만</t>
        </is>
      </c>
    </row>
    <row r="56" ht="30" customHeight="1">
      <c r="A56" s="6" t="n">
        <v>51</v>
      </c>
      <c r="B56" s="6" t="inlineStr">
        <is>
          <t>TC-DMF0021-H002</t>
        </is>
      </c>
      <c r="C56" s="6" t="inlineStr">
        <is>
          <t>H.팝업</t>
        </is>
      </c>
      <c r="D56" s="6" t="inlineStr">
        <is>
          <t>Item 팝업 (조건/Catch_Up 셀)</t>
        </is>
      </c>
      <c r="E56" s="6" t="inlineStr">
        <is>
          <t>Div=40, Catch_Up 행</t>
        </is>
      </c>
      <c r="F56" s="6" t="inlineStr">
        <is>
          <t>1) 조회조건 Model 아이콘
2) Catch_Up ITEM_ID 셀 더블클릭</t>
        </is>
      </c>
      <c r="G56" s="6" t="inlineStr">
        <is>
          <t>1건</t>
        </is>
      </c>
      <c r="H56" s="6" t="inlineStr">
        <is>
          <t>• 조건: txtItemId 반영
• 셀: ITEM_ID/Item Type/Nick Name 자동세팅</t>
        </is>
      </c>
      <c r="I56" s="6" t="inlineStr">
        <is>
          <t>없음</t>
        </is>
      </c>
      <c r="J56" s="6" t="inlineStr">
        <is>
          <t>sMdmActive_Sw=Y</t>
        </is>
      </c>
    </row>
    <row r="57" ht="18" customHeight="1">
      <c r="A57" s="6" t="n">
        <v>52</v>
      </c>
      <c r="B57" s="6" t="inlineStr">
        <is>
          <t>TC-DMF0021-H003</t>
        </is>
      </c>
      <c r="C57" s="6" t="inlineStr">
        <is>
          <t>H.팝업</t>
        </is>
      </c>
      <c r="D57" s="6" t="inlineStr">
        <is>
          <t>Owner 팝업</t>
        </is>
      </c>
      <c r="E57" s="6" t="inlineStr">
        <is>
          <t>화면 진입</t>
        </is>
      </c>
      <c r="F57" s="6" t="inlineStr">
        <is>
          <t>1) Owner 아이콘 → 선택 OK</t>
        </is>
      </c>
      <c r="G57" s="6" t="inlineStr">
        <is>
          <t>1건</t>
        </is>
      </c>
      <c r="H57" s="6" t="inlineStr">
        <is>
          <t>• txtOwner 반영</t>
        </is>
      </c>
      <c r="I57" s="6" t="inlineStr">
        <is>
          <t>없음</t>
        </is>
      </c>
      <c r="J57" s="6" t="inlineStr"/>
    </row>
    <row r="58" ht="18" customHeight="1">
      <c r="A58" s="6" t="n">
        <v>53</v>
      </c>
      <c r="B58" s="6" t="inlineStr">
        <is>
          <t>TC-DMF0021-H004</t>
        </is>
      </c>
      <c r="C58" s="6" t="inlineStr">
        <is>
          <t>H.팝업</t>
        </is>
      </c>
      <c r="D58" s="6" t="inlineStr">
        <is>
          <t>Column Setting</t>
        </is>
      </c>
      <c r="E58" s="6" t="inlineStr">
        <is>
          <t>조회 완료</t>
        </is>
      </c>
      <c r="F58" s="6" t="inlineStr">
        <is>
          <t>1) Column Setup → 표시/순서 변경 → 저장</t>
        </is>
      </c>
      <c r="G58" s="6" t="inlineStr">
        <is>
          <t>변경 2건</t>
        </is>
      </c>
      <c r="H58" s="6" t="inlineStr">
        <is>
          <t>• 그리드 헤더 즉시 재구성 (재조회 없이)</t>
        </is>
      </c>
      <c r="I58" s="6" t="inlineStr">
        <is>
          <t>없음</t>
        </is>
      </c>
      <c r="J58" s="6" t="inlineStr">
        <is>
          <t>SHEET_COLUMNS 66 + 사용자별 저장</t>
        </is>
      </c>
    </row>
    <row r="59" ht="18" customHeight="1">
      <c r="A59" s="6" t="n">
        <v>54</v>
      </c>
      <c r="B59" s="6" t="inlineStr">
        <is>
          <t>TC-DMF0021-H005</t>
        </is>
      </c>
      <c r="C59" s="6" t="inlineStr">
        <is>
          <t>H.팝업</t>
        </is>
      </c>
      <c r="D59" s="6" t="inlineStr">
        <is>
          <t>Measure Select</t>
        </is>
      </c>
      <c r="E59" s="6" t="inlineStr">
        <is>
          <t>조회 완료</t>
        </is>
      </c>
      <c r="F59" s="6" t="inlineStr">
        <is>
          <t>1) Measure Select → 표시 변경 → 저장</t>
        </is>
      </c>
      <c r="G59" s="6" t="inlineStr">
        <is>
          <t>변경 1건</t>
        </is>
      </c>
      <c r="H59" s="6" t="inlineStr">
        <is>
          <t>• Measure 행 구성 재반영 (메타 31)</t>
        </is>
      </c>
      <c r="I59" s="6" t="inlineStr">
        <is>
          <t>없음</t>
        </is>
      </c>
      <c r="J59" s="6" t="inlineStr"/>
    </row>
    <row r="60" ht="18" customHeight="1">
      <c r="A60" s="6" t="n">
        <v>55</v>
      </c>
      <c r="B60" s="6" t="inlineStr">
        <is>
          <t>TC-DMF0021-I001</t>
        </is>
      </c>
      <c r="C60" s="6" t="inlineStr">
        <is>
          <t>I.권한메타</t>
        </is>
      </c>
      <c r="D60" s="6" t="inlineStr">
        <is>
          <t>메뉴/버튼 권한</t>
        </is>
      </c>
      <c r="E60" s="6" t="inlineStr">
        <is>
          <t>권한 그룹 상이 2계정</t>
        </is>
      </c>
      <c r="F60" s="6" t="inlineStr">
        <is>
          <t>1) 메뉴 표시/버튼 활성 확인</t>
        </is>
      </c>
      <c r="G60" s="6" t="inlineStr">
        <is>
          <t>없음</t>
        </is>
      </c>
      <c r="H60" s="6" t="inlineStr">
        <is>
          <t>• MNU_MPG+BTN_MPG 둘 다 반영 (BTN 등록 후)</t>
        </is>
      </c>
      <c r="I60" s="6" t="inlineStr">
        <is>
          <t>없음</t>
        </is>
      </c>
      <c r="J60" s="6" t="inlineStr">
        <is>
          <t>실측: BTN_MPG 0건 — 등록 선행</t>
        </is>
      </c>
    </row>
    <row r="61" ht="18" customHeight="1">
      <c r="A61" s="6" t="n">
        <v>56</v>
      </c>
      <c r="B61" s="6" t="inlineStr">
        <is>
          <t>TC-DMF0021-I002</t>
        </is>
      </c>
      <c r="C61" s="6" t="inlineStr">
        <is>
          <t>I.권한메타</t>
        </is>
      </c>
      <c r="D61" s="6" t="inlineStr">
        <is>
          <t>CMBO 등록 확인</t>
        </is>
      </c>
      <c r="E61" s="6" t="inlineStr">
        <is>
          <t>구현 후</t>
        </is>
      </c>
      <c r="F61" s="6" t="inlineStr">
        <is>
          <t>1) 그리드 Cell Prod Site 콤보 확인</t>
        </is>
      </c>
      <c r="G61" s="6" t="inlineStr">
        <is>
          <t>없음</t>
        </is>
      </c>
      <c r="H61" s="6" t="inlineStr">
        <is>
          <t>• 빈 콤보 아님 (CELL_PROD_SITE_ID CMBO 등록 후)</t>
        </is>
      </c>
      <c r="I61" s="6" t="inlineStr">
        <is>
          <t>없음</t>
        </is>
      </c>
      <c r="J61" s="6" t="inlineStr">
        <is>
          <t>실측: 미등록 1종</t>
        </is>
      </c>
    </row>
    <row r="62" ht="18" customHeight="1">
      <c r="A62" s="6" t="n">
        <v>57</v>
      </c>
      <c r="B62" s="6" t="inlineStr">
        <is>
          <t>TC-DMF0021-I003</t>
        </is>
      </c>
      <c r="C62" s="6" t="inlineStr">
        <is>
          <t>I.권한메타</t>
        </is>
      </c>
      <c r="D62" s="6" t="inlineStr">
        <is>
          <t>API/PROC 배선</t>
        </is>
      </c>
      <c r="E62" s="6" t="inlineStr">
        <is>
          <t>구현 후</t>
        </is>
      </c>
      <c r="F62" s="6" t="inlineStr">
        <is>
          <t>1) 조회/저장 각 1회</t>
        </is>
      </c>
      <c r="G62" s="6" t="inlineStr">
        <is>
          <t>유효 조건</t>
        </is>
      </c>
      <c r="H62" s="6" t="inlineStr">
        <is>
          <t>• -9994/PLS-00306 없음 (API_M+PROC_M+GRANT/SYNONYM)</t>
        </is>
      </c>
      <c r="I62" s="6" t="inlineStr">
        <is>
          <t>없음</t>
        </is>
      </c>
      <c r="J62" s="6" t="inlineStr">
        <is>
          <t>실측: API_M·PROC_M 0건 — 등록 선행</t>
        </is>
      </c>
    </row>
    <row r="63" ht="18" customHeight="1">
      <c r="A63" s="6" t="n">
        <v>58</v>
      </c>
      <c r="B63" s="6" t="inlineStr">
        <is>
          <t>TC-DMF0021-J001</t>
        </is>
      </c>
      <c r="C63" s="6" t="inlineStr">
        <is>
          <t>J.Excel</t>
        </is>
      </c>
      <c r="D63" s="6" t="inlineStr">
        <is>
          <t>Excel 다운로드</t>
        </is>
      </c>
      <c r="E63" s="6" t="inlineStr">
        <is>
          <t>조회 완료</t>
        </is>
      </c>
      <c r="F63" s="6" t="inlineStr">
        <is>
          <t>1) [Excel]</t>
        </is>
      </c>
      <c r="G63" s="6" t="inlineStr">
        <is>
          <t>없음</t>
        </is>
      </c>
      <c r="H63" s="6" t="inlineStr">
        <is>
          <t>• 숨김 컬럼 제외 / 표시 포맷 유지 (82 소수 포함)</t>
        </is>
      </c>
      <c r="I63" s="6" t="inlineStr">
        <is>
          <t>없음</t>
        </is>
      </c>
      <c r="J63" s="6" t="inlineStr"/>
    </row>
    <row r="64" ht="18" customHeight="1">
      <c r="A64" s="6" t="n">
        <v>59</v>
      </c>
      <c r="B64" s="6" t="inlineStr">
        <is>
          <t>TC-DMF0021-J002</t>
        </is>
      </c>
      <c r="C64" s="6" t="inlineStr">
        <is>
          <t>J.Excel</t>
        </is>
      </c>
      <c r="D64" s="6" t="inlineStr">
        <is>
          <t>파일명 규칙</t>
        </is>
      </c>
      <c r="E64" s="6" t="inlineStr">
        <is>
          <t>다운로드 후</t>
        </is>
      </c>
      <c r="F64" s="6" t="inlineStr">
        <is>
          <t>1) 파일명 확인</t>
        </is>
      </c>
      <c r="G64" s="6" t="inlineStr">
        <is>
          <t>없음</t>
        </is>
      </c>
      <c r="H64" s="6" t="inlineStr">
        <is>
          <t>• DMF0021_SalesPlan_{일시}.xlsx 형식</t>
        </is>
      </c>
      <c r="I64" s="6" t="inlineStr">
        <is>
          <t>없음</t>
        </is>
      </c>
      <c r="J64" s="6" t="inlineStr">
        <is>
          <t>AS-IS 규칙 준용</t>
        </is>
      </c>
    </row>
    <row r="65">
      <c r="A65" s="2" t="inlineStr">
        <is>
          <t>※ 총 59건 — 구현 후 검증용 사전 작성 (TO-BE 미구현 상태 기준. BTN/API/PROC/CMBO 등록 선행 항목 포함).</t>
        </is>
      </c>
    </row>
  </sheetData>
  <mergeCells count="1">
    <mergeCell ref="A3:J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30" customWidth="1" min="3" max="3"/>
    <col width="66" customWidth="1" min="4" max="4"/>
  </cols>
  <sheetData>
    <row r="1" ht="21" customHeight="1">
      <c r="A1" s="1" t="inlineStr">
        <is>
          <t>11. 데이터연결 분기·종속 맵 — lineage(FE→SP→Lookup) + 4축 + 편집제어</t>
        </is>
      </c>
    </row>
    <row r="2">
      <c r="A2" s="2" t="inlineStr">
        <is>
          <t>DMF0021 Sales Plan · UI 분석서 v1.0 · 2026-07-09 (hook #105 11시트)</t>
        </is>
      </c>
    </row>
    <row r="3" ht="28" customHeight="1">
      <c r="A3" s="3" t="inlineStr">
        <is>
          <t>📖 읽는 법 — 데이터가 화면→SP→Lookup/테이블로 연결·4축(사업부·권한·유형·메저) 분기. 태그=값 출처. 인터랙티브 맵=동반 HTML.</t>
        </is>
      </c>
    </row>
    <row r="4" ht="20" customHeight="1">
      <c r="A4" s="4" t="inlineStr">
        <is>
          <t>A. 데이터연결 lineage 전수 (원천태그: HARD/LOOKUP/DB/sp: + DIV·GRP·AXIS 분류)</t>
        </is>
      </c>
    </row>
    <row r="5">
      <c r="A5" s="8" t="inlineStr">
        <is>
          <t>계층</t>
        </is>
      </c>
      <c r="B5" s="8" t="inlineStr">
        <is>
          <t>노드 (연결/분기)</t>
        </is>
      </c>
      <c r="C5" s="8" t="inlineStr">
        <is>
          <t>원천태그</t>
        </is>
      </c>
      <c r="D5" s="8" t="inlineStr">
        <is>
          <t>설명</t>
        </is>
      </c>
    </row>
    <row r="6" ht="45" customHeight="1">
      <c r="A6" s="9" t="n">
        <v>0</v>
      </c>
      <c r="B6" s="9" t="inlineStr">
        <is>
          <t>■ DMF0021 Sales Plan — 데이터연결 lineage</t>
        </is>
      </c>
      <c r="C6" s="9" t="inlineStr">
        <is>
          <t>MENU:DMF0021 / URL:sales-plan</t>
        </is>
      </c>
      <c r="D6" s="9" t="inlineStr">
        <is>
          <t>AS-IS SP: GET_DM_PLN_SALES_PLAN_DATAEX(조회 PIVOT) / SAVE_DM_PLN_SALES_PLAN_ALL(저장) / GET_SPREAD_TITLE(동적컬럼) / GET_SALES_PLAN_MEASUREINFO(/2)(메저). ⚠ 배선격차: SCM_ADM_API_M=0행, SCM_ADM_PROC_M=0행, MNU_BTN_MPG_M=0행, USER_GR_MNU_BTN_MPG_M=0행 =&gt; TO-BE 미배선(신규 화면 등록 필요).</t>
        </is>
      </c>
    </row>
    <row r="7" ht="30" customHeight="1">
      <c r="A7" s="9" t="n">
        <v>1</v>
      </c>
      <c r="B7" s="9" t="inlineStr">
        <is>
          <t xml:space="preserve">　└ [SEARCH] 조회 → AS-IS GET_DM_PLN_SALES_PLAN_DATAEX</t>
        </is>
      </c>
      <c r="C7" s="9" t="inlineStr">
        <is>
          <t>BTN:SEARCH / sp:GET_DM_PLN_SALES_PLAN_DATAEX / DB:SCM_ADM_API_M(0) / GAP:미배선</t>
        </is>
      </c>
      <c r="D7" s="9" t="inlineStr">
        <is>
          <t>TO-BE API_M/PROC_M 미등록(0행). 조회 PIVOT: p_bucket(DAILY/WEEKLY/MONTHLY), from~now~to 집계.</t>
        </is>
      </c>
    </row>
    <row r="8" ht="30" customHeight="1">
      <c r="A8" s="9" t="n">
        <v>1</v>
      </c>
      <c r="B8" s="9" t="inlineStr">
        <is>
          <t xml:space="preserve">　└ [SAVE] 저장 → AS-IS SAVE_DM_PLN_SALES_PLAN_ALL</t>
        </is>
      </c>
      <c r="C8" s="9" t="inlineStr">
        <is>
          <t>BTN:SAVE / sp:SAVE_DM_PLN_SALES_PLAN_ALL / DB:SCM_ADM_MNU_BTN_MPG_M(0) / GAP:미배선</t>
        </is>
      </c>
      <c r="D8" s="9" t="inlineStr">
        <is>
          <t>'^' bulk payload 저장. RTF_SYS_RP: RMA=+QTY / 非RMA=-QTY 검증(L456/468). ETC=DM_PLN_SALES_ETC_PLAN.</t>
        </is>
      </c>
    </row>
    <row r="9" ht="30" customHeight="1">
      <c r="A9" s="9" t="n">
        <v>1</v>
      </c>
      <c r="B9" s="9" t="inlineStr">
        <is>
          <t xml:space="preserve">　└ 동적컬럼/메저 → GET_SPREAD_TITLE + GET_SALES_PLAN_MEASUREINFO</t>
        </is>
      </c>
      <c r="C9" s="9" t="inlineStr">
        <is>
          <t>sp:GET_SPREAD_TITLE / sp:GET_SALES_PLAN_MEASUREINFO / DB:SCM_MST_SHEET_MEASURE(48)</t>
        </is>
      </c>
      <c r="D9" s="9" t="inlineStr">
        <is>
          <t>DM_SALES_PLAN_MEASURE 룩업 + SHEET_MEASURE 48행으로 measure 컬럼/버킷 타이틀 생성.</t>
        </is>
      </c>
    </row>
    <row r="10" ht="45" customHeight="1">
      <c r="A10" s="9" t="n">
        <v>0</v>
      </c>
      <c r="B10" s="9" t="inlineStr">
        <is>
          <t>■ ① Division 축 (14)</t>
        </is>
      </c>
      <c r="C10" s="9" t="inlineStr">
        <is>
          <t>AXIS:DIVISION / DB:SCM_MST_DIVISION</t>
        </is>
      </c>
      <c r="D10" s="9" t="inlineStr">
        <is>
          <t>SCM_MST_DIVISION 14행 = 40 / 81계열(7: 81,81_HD/HG/HM/ST/UC) / 82 / EE계열(6). ATTRIBUTE3=division group(40/81/82/EE), ATTRIBUTE4=maker(LG/HD/HG/HM/ST/UC). 편집 실효 division = GAM(DMF0021) SEGMENT3 = {40,81,81_*,82} 8종. EE 6종 미등록.</t>
        </is>
      </c>
    </row>
    <row r="11" ht="30" customHeight="1">
      <c r="A11" s="9" t="n">
        <v>1</v>
      </c>
      <c r="B11" s="9" t="inlineStr">
        <is>
          <t xml:space="preserve">　└ 40 Mobility &amp; IT Battery</t>
        </is>
      </c>
      <c r="C11" s="9" t="inlineStr">
        <is>
          <t>DIV:40 / DB:SCM_MST_DIVISION / EDIT:LOC+RTF 양쪽 편집대상</t>
        </is>
      </c>
      <c r="D11" s="9" t="inlineStr">
        <is>
          <t>GAM: SalesAmt_LOC 4권한 + RTF_SYS_RP 3권한 모두 40 등록. RTF 40=MON 1600 락.</t>
        </is>
      </c>
    </row>
    <row r="12" ht="18" customHeight="1">
      <c r="A12" s="9" t="n">
        <v>1</v>
      </c>
      <c r="B12" s="9" t="inlineStr">
        <is>
          <t xml:space="preserve">　└ 81 / 81_HD·HG·HM·ST·UC Automotive (7)</t>
        </is>
      </c>
      <c r="C12" s="9" t="inlineStr">
        <is>
          <t>DIV:81계열 / DB:SCM_MST_DIVISION / EDIT:LOC+RTF</t>
        </is>
      </c>
      <c r="D12" s="9" t="inlineStr">
        <is>
          <t>GAM 등록: LOC(81,81_*) + RTF(81,81_*). RTF 81=SAT 1600 / 81_*=MON 1600 락(SEGMENT5 flag=Y).</t>
        </is>
      </c>
    </row>
    <row r="13" ht="18" customHeight="1">
      <c r="A13" s="9" t="n">
        <v>1</v>
      </c>
      <c r="B13" s="9" t="inlineStr">
        <is>
          <t xml:space="preserve">　└ 82 ESS Battery</t>
        </is>
      </c>
      <c r="C13" s="9" t="inlineStr">
        <is>
          <t>DIV:82 / DB:SCM_MST_DIVISION / EDIT:LOC-only</t>
        </is>
      </c>
      <c r="D13" s="9" t="inlineStr">
        <is>
          <t>⭐ SalesAmt_LOC 만 82 등록(4권한) → RTF_SYS_RP 는 82 미등록(편집불가). RTF 시간락 대상 아님.</t>
        </is>
      </c>
    </row>
    <row r="14" ht="30" customHeight="1">
      <c r="A14" s="9" t="n">
        <v>1</v>
      </c>
      <c r="B14" s="9" t="inlineStr">
        <is>
          <t xml:space="preserve">　└ EE / EE_HD·HG·HM·ST·UC Electrode (6)</t>
        </is>
      </c>
      <c r="C14" s="9" t="inlineStr">
        <is>
          <t>DIV:EE계열 / DB:SCM_MST_DIVISION / EDIT:GAM 미등록→편집불가</t>
        </is>
      </c>
      <c r="D14" s="9" t="inlineStr">
        <is>
          <t>⚠ GAP: EE 6 division 은 GAM(DMF0021) 전무 → 비ADMIN EE 사용자 편집메저 0. ADMIN 만 편집(GET_ADMIN_GROUP).</t>
        </is>
      </c>
    </row>
    <row r="15" ht="45" customHeight="1">
      <c r="A15" s="9" t="n">
        <v>0</v>
      </c>
      <c r="B15" s="9" t="inlineStr">
        <is>
          <t>■ ② 사용자권한 축</t>
        </is>
      </c>
      <c r="C15" s="9" t="inlineStr">
        <is>
          <t>AXIS:AUTH</t>
        </is>
      </c>
      <c r="D15" s="9" t="inlineStr">
        <is>
          <t>편집제어 = (1) GET_ADMIN_GROUP(SEGMENT2='ALL') → v_group_id='ADMIN' 전편집 (2) GET_ADMIN_GROUP_MEASURE(SEGMENT2='DMF0021') → v_EDIT_AUTH_SalesAmt_LOC / v_EDIT_AUTH_RTF_SYS_RP. MNU_BTN_MPG_M/USER_GR_MNU_BTN_MPG_M = 0행(버튼권한 미배선).</t>
        </is>
      </c>
    </row>
    <row r="16" ht="30" customHeight="1">
      <c r="A16" s="9" t="n">
        <v>1</v>
      </c>
      <c r="B16" s="9" t="inlineStr">
        <is>
          <t xml:space="preserve">　└ ADMIN (GET_ADMIN_GROUP)</t>
        </is>
      </c>
      <c r="C16" s="9" t="inlineStr">
        <is>
          <t>GRP:ADMIN / LOOKUP:GET_ADMIN_GROUP / sp:DATAEX L243-254</t>
        </is>
      </c>
      <c r="D16" s="9" t="inlineStr">
        <is>
          <t>GET_ADMIN_GROUP SEGMENT1=user, SEGMENT2='ALL' COUNT&gt;0 → v_group_id='ADMIN' → 전 division/measure 편집.</t>
        </is>
      </c>
    </row>
    <row r="17" ht="30" customHeight="1">
      <c r="A17" s="9" t="n">
        <v>1</v>
      </c>
      <c r="B17" s="9" t="inlineStr">
        <is>
          <t xml:space="preserve">　└ SalesAmt_LOC 편집권한 4그룹</t>
        </is>
      </c>
      <c r="C17" s="9" t="inlineStr">
        <is>
          <t>GRP:LOC-4 / LOOKUP:GET_ADMIN_GROUP_MEASURE / HARD:v_EDIT_AUTH_SalesAmt_LOC / sp:DATAEX L260-273</t>
        </is>
      </c>
      <c r="D17" s="9" t="inlineStr">
        <is>
          <t>GAM SEGMENT4=SalesAmt_LOC → ['ADMIN', 'DM ADMIN', 'DM Planner', 'SCM PI Admin'] × div ['40', '81', '81_HD', '81_HG', '81_HM', '81_ST', '81_UC', '82'] (32행, 시간락 없음).</t>
        </is>
      </c>
    </row>
    <row r="18" ht="30" customHeight="1">
      <c r="A18" s="9" t="n">
        <v>1</v>
      </c>
      <c r="B18" s="9" t="inlineStr">
        <is>
          <t xml:space="preserve">　└ RTF_SYS_RP 편집권한 3그룹</t>
        </is>
      </c>
      <c r="C18" s="9" t="inlineStr">
        <is>
          <t>GRP:RTF-3 / LOOKUP:GET_ADMIN_GROUP_MEASURE / HARD:v_EDIT_AUTH_RTF_SYS_RP / sp:DATAEX L275-287</t>
        </is>
      </c>
      <c r="D18" s="9" t="inlineStr">
        <is>
          <t>GAM SEGMENT4=RTF_SYS_RP → ['ADMIN', 'SCM PI Admin', 'SCP Planner'] × div ['40', '81', '81_HD', '81_HG', '81_HM', '81_ST', '81_UC'] (21행). ⭐ SCP Planner 포함. MON/SAT 1600 락.</t>
        </is>
      </c>
    </row>
    <row r="19" ht="30" customHeight="1">
      <c r="A19" s="9" t="n">
        <v>1</v>
      </c>
      <c r="B19" s="9" t="inlineStr">
        <is>
          <t xml:space="preserve">　└ 팀/부서 매핑 (PM_TEAM_MAPPING / TMM_MEASURE_ADMIN)</t>
        </is>
      </c>
      <c r="C19" s="9" t="inlineStr">
        <is>
          <t>LOOKUP:PM_TEAM_MAPPING(375) / LOOKUP:TMM_MEASURE_ADMIN(70) / sp:DATAEX L294-311/L390-399</t>
        </is>
      </c>
      <c r="D19" s="9" t="inlineStr">
        <is>
          <t>PM_TEAM_MAPPING: 사용자 부서→팀 LISTAGG(v_dept_list). TMM_MEASURE_ADMIN: TMM_FCST 메저 사용자 권한.</t>
        </is>
      </c>
    </row>
    <row r="20" ht="30" customHeight="1">
      <c r="A20" s="9" t="n">
        <v>1</v>
      </c>
      <c r="B20" s="9" t="inlineStr">
        <is>
          <t xml:space="preserve">　└ 버튼권한 미배선 (0행)</t>
        </is>
      </c>
      <c r="C20" s="9" t="inlineStr">
        <is>
          <t>DB:SCM_ADM_MNU_BTN_MPG_M(0) / DB:SCM_ADM_USER_GR_MNU_BTN_MPG_M(0) / GAP:미등록</t>
        </is>
      </c>
      <c r="D20" s="9" t="inlineStr">
        <is>
          <t>SEARCH/SAVE 버튼-그룹 매핑 미등록 → TO-BE 신규 등록 필요(SHT_NM='Sales Plan').</t>
        </is>
      </c>
    </row>
    <row r="21" ht="30" customHeight="1">
      <c r="A21" s="9" t="n">
        <v>0</v>
      </c>
      <c r="B21" s="9" t="inlineStr">
        <is>
          <t>■ ③ FCST_TYPE 축</t>
        </is>
      </c>
      <c r="C21" s="9" t="inlineStr">
        <is>
          <t>AXIS:FCST / LOOKUP:SALES_TYPE_CODE(14) / LOOKUP:BP_FCST_TYPE(25)__NOT_REF</t>
        </is>
      </c>
      <c r="D21" s="9" t="inlineStr">
        <is>
          <t>FCST_TYPE 값 = SALES_TYPE_CODE 룩업 14종(AS/ASF/ETC/MPS/RMA/Recall/SDC/SDF/SMC/SMF/SPF/TST/WS/WSF). SAVE SP 참조=SALES_TYPE_CODE(메시지용 SEGMENT2). BP_FCST_TYPE(25)=거버넌스, DMF0021 SP 미참조(__NOT_REF).</t>
        </is>
      </c>
    </row>
    <row r="22" ht="30" customHeight="1">
      <c r="A22" s="9" t="n">
        <v>1</v>
      </c>
      <c r="B22" s="9" t="inlineStr">
        <is>
          <t xml:space="preserve">　└ ETC (신규 입력 대상)</t>
        </is>
      </c>
      <c r="C22" s="9" t="inlineStr">
        <is>
          <t>FCST:ETC / sp:SAVE DM_PLN_SALES_ETC_PLAN / HARD:Insert=ETC</t>
        </is>
      </c>
      <c r="D22" s="9" t="inlineStr">
        <is>
          <t>신규 행 Insert 는 ETC 매출 → DM_PLN_SALES_ETC_PLAN(_H). 40+ETC=달 마지막날 버킷(L185-186).</t>
        </is>
      </c>
    </row>
    <row r="23" ht="30" customHeight="1">
      <c r="A23" s="9" t="n">
        <v>1</v>
      </c>
      <c r="B23" s="9" t="inlineStr">
        <is>
          <t xml:space="preserve">　└ RMA (부호 검증)</t>
        </is>
      </c>
      <c r="C23" s="9" t="inlineStr">
        <is>
          <t>FCST:RMA / sp:SAVE L456/L468 / HARD:RTF_SYS_RP 부호</t>
        </is>
      </c>
      <c r="D23" s="9" t="inlineStr">
        <is>
          <t>RTF_SYS_RP 저장 검증: RMA=+QTY(&gt;0) / 非RMA=-QTY(&lt;0) 규칙.</t>
        </is>
      </c>
    </row>
    <row r="24" ht="18" customHeight="1">
      <c r="A24" s="9" t="n">
        <v>1</v>
      </c>
      <c r="B24" s="9" t="inlineStr">
        <is>
          <t xml:space="preserve">　└ 그 외 11종 (AS/ASF/MPS/Recall/SDC/SDF/SMC/SMF/SPF/TST/WS/WSF)</t>
        </is>
      </c>
      <c r="C24" s="9" t="inlineStr">
        <is>
          <t>FCST:기타 / LOOKUP:SALES_TYPE_CODE</t>
        </is>
      </c>
      <c r="D24" s="9" t="inlineStr">
        <is>
          <t>조회/집계 대상. 신규 입력 불가(ETC 만). V_FCST_TYPE&lt;&gt;'ETC' 필터(L508)로 기존분과 구분.</t>
        </is>
      </c>
    </row>
    <row r="25" ht="30" customHeight="1">
      <c r="A25" s="9" t="n">
        <v>0</v>
      </c>
      <c r="B25" s="9" t="inlineStr">
        <is>
          <t>■ ④ 메저 축 (SHEET_MEASURE 48 + 편집 2메저)</t>
        </is>
      </c>
      <c r="C25" s="9" t="inlineStr">
        <is>
          <t>AXIS:MEASURE / DB:SCM_MST_SHEET_MEASURE(48) / LOOKUP:DM_SALES_PLAN_MEASURE(2)</t>
        </is>
      </c>
      <c r="D25" s="9" t="inlineStr">
        <is>
          <t>SHEET_MEASURE 48행(division별 measure 컬럼). 편집대상 2메저 = SalesAmt_LOC 계열 / RTF_SYS_RP 계열. DM_SALES_PLAN_MEASURE 룩업(2): Catch_Up, SalesAmt_LOC.</t>
        </is>
      </c>
    </row>
    <row r="26" ht="30" customHeight="1">
      <c r="A26" s="9" t="n">
        <v>1</v>
      </c>
      <c r="B26" s="9" t="inlineStr">
        <is>
          <t xml:space="preserve">　└ SalesAmt_LOC 계열</t>
        </is>
      </c>
      <c r="C26" s="9" t="inlineStr">
        <is>
          <t>MSR:SalesAmt_LOC / EDIT:v_EDIT_AUTH_SalesAmt_LOC / DIV:40/81계열/82</t>
        </is>
      </c>
      <c r="D26" s="9" t="inlineStr">
        <is>
          <t>편집키 메저. 파생: SalesAmt_LOC_40 / _Catch_Up / _User + KRW/USD 환산. 4권한×8div(82 포함) 편집. 시간락 없음.</t>
        </is>
      </c>
    </row>
    <row r="27" ht="30" customHeight="1">
      <c r="A27" s="9" t="n">
        <v>1</v>
      </c>
      <c r="B27" s="9" t="inlineStr">
        <is>
          <t xml:space="preserve">　└ RTF_SYS_RP 계열</t>
        </is>
      </c>
      <c r="C27" s="9" t="inlineStr">
        <is>
          <t>MSR:RTF_SYS_RP / EDIT:v_EDIT_AUTH_RTF_SYS_RP / DIV:40/81계열(82 제외)</t>
        </is>
      </c>
      <c r="D27" s="9" t="inlineStr">
        <is>
          <t>편집키 메저. 파생: RTF_SYS_RP_CAR / _CELL / RTF_ENERGY 등. 3권한×7div(82 제외). MON/SAT 1600 시간락.</t>
        </is>
      </c>
    </row>
    <row r="28" ht="30" customHeight="1">
      <c r="A28" s="9" t="n">
        <v>1</v>
      </c>
      <c r="B28" s="9" t="inlineStr">
        <is>
          <t xml:space="preserve">　└ 조회전용 메저 (나머지)</t>
        </is>
      </c>
      <c r="C28" s="9" t="inlineStr">
        <is>
          <t>MSR:조회전용 / DB:SCM_MST_SHEET_MEASURE</t>
        </is>
      </c>
      <c r="D28" s="9" t="inlineStr">
        <is>
          <t>MKT_FCST계열/CUST_FCST/SCM_FCST/TMM_FCST/RTF_PR/Catch_Up 등 = 표시/집계용(편집키 아님). SHEET_COLUMNS 66 전량 INPUT_TP_CD='S'.</t>
        </is>
      </c>
    </row>
    <row r="29" ht="18" customHeight="1">
      <c r="A29" s="9" t="n">
        <v>0</v>
      </c>
      <c r="B29" s="9" t="inlineStr">
        <is>
          <t>■ ⑤ 편집제어 매트릭스 (권한×Division×메저×일시)</t>
        </is>
      </c>
      <c r="C29" s="9" t="inlineStr">
        <is>
          <t>AXIS:EDITMATRIX</t>
        </is>
      </c>
      <c r="D29" s="9" t="inlineStr">
        <is>
          <t>실효 편집 = GAM(DMF0021) 53행. SalesAmt_LOC(무락) + RTF_SYS_RP(MON/SAT 1600 락). ADMIN 은 전편집.</t>
        </is>
      </c>
    </row>
    <row r="30" ht="30" customHeight="1">
      <c r="A30" s="9" t="n">
        <v>1</v>
      </c>
      <c r="B30" s="9" t="inlineStr">
        <is>
          <t xml:space="preserve">　└ SalesAmt_LOC: 4권한 × 8div × 시간락 없음</t>
        </is>
      </c>
      <c r="C30" s="9" t="inlineStr">
        <is>
          <t>MSR:SalesAmt_LOC / LOOKUP:GET_ADMIN_GROUP_MEASURE / TIME:무락</t>
        </is>
      </c>
      <c r="D30" s="9" t="inlineStr">
        <is>
          <t>groups=['ADMIN', 'DM ADMIN', 'DM Planner', 'SCM PI Admin'] / divisions=['40', '81', '81_HD', '81_HG', '81_HM', '81_ST', '81_UC', '82'] / time_lock_rows=0.</t>
        </is>
      </c>
    </row>
    <row r="31" ht="30" customHeight="1">
      <c r="A31" s="9" t="n">
        <v>1</v>
      </c>
      <c r="B31" s="9" t="inlineStr">
        <is>
          <t xml:space="preserve">　└ RTF_SYS_RP: 3권한 × 7div × MON/SAT 1600 락</t>
        </is>
      </c>
      <c r="C31" s="9" t="inlineStr">
        <is>
          <t>MSR:RTF_SYS_RP / LOOKUP:GET_ADMIN_GROUP_MEASURE / TIME:MON/SAT@1600</t>
        </is>
      </c>
      <c r="D31" s="9" t="inlineStr">
        <is>
          <t>groups=['ADMIN', 'SCM PI Admin', 'SCP Planner'] / divisions=['40', '81', '81_HD', '81_HG', '81_HM', '81_ST', '81_UC'] / time_lock_rows=21.</t>
        </is>
      </c>
    </row>
    <row r="32" ht="30" customHeight="1">
      <c r="A32" s="9" t="n">
        <v>1</v>
      </c>
      <c r="B32" s="9" t="inlineStr">
        <is>
          <t xml:space="preserve">　└ 시간락 규칙 (RTF_SYS_RP)</t>
        </is>
      </c>
      <c r="C32" s="9" t="inlineStr">
        <is>
          <t>TIME:GAM ATTRIBUTE1=요일/ATTRIBUTE2=시각 / SEGMENT5=flag</t>
        </is>
      </c>
      <c r="D32" s="9" t="inlineStr">
        <is>
          <t>GAM row: ATTRIBUTE1=요일(MON/SAT), ATTRIBUTE2=시각(1600), SEGMENT5=flag(Y/-). 40=MON / 81=SAT / 81_*=MON, 전 1600. 해당 요일 컷오프 시각 이후 편집잠금.</t>
        </is>
      </c>
    </row>
    <row r="33" ht="30" customHeight="1">
      <c r="A33" s="9" t="n">
        <v>1</v>
      </c>
      <c r="B33" s="9" t="inlineStr">
        <is>
          <t xml:space="preserve">　└ 이원화 격차 (신방식 미적용)</t>
        </is>
      </c>
      <c r="C33" s="9" t="inlineStr">
        <is>
          <t>GAP:DM_UI_EDITABLE_*=0 / LOOKUP:GET_ADMIN_GROUP_MEASURE=실효</t>
        </is>
      </c>
      <c r="D33" s="9" t="inlineStr">
        <is>
          <t>DM_UI_EDITABLE_MEASURE / DM_UI_EDITABLE_DIVISION SEGMENT1='DMF0021' = 0행(신방식 미적용). 실효 편집제어 = 구방식 GET_ADMIN_GROUP + GET_ADMIN_GROUP_MEASURE 뿐.</t>
        </is>
      </c>
    </row>
    <row r="34" ht="30" customHeight="1">
      <c r="A34" s="9" t="n">
        <v>0</v>
      </c>
      <c r="B34" s="9" t="inlineStr">
        <is>
          <t>■ ⛓ CASCADE 필터 (조회조건·GRID 종속제약)</t>
        </is>
      </c>
      <c r="C34" s="9" t="inlineStr">
        <is>
          <t>AXIS:CASCADE</t>
        </is>
      </c>
      <c r="D34" s="9" t="inlineStr">
        <is>
          <t>콤보 선택→하위 재조회/재필터. SQL 바인드(@param) vs FE 필터(DIVISION_ID열) 혼재. 한눈에 보기.</t>
        </is>
      </c>
    </row>
    <row r="35" ht="18" customHeight="1">
      <c r="A35" s="9" t="n">
        <v>1</v>
      </c>
      <c r="B35" s="9" t="inlineStr">
        <is>
          <t xml:space="preserve">　└ [조회조건] Division → Team → End Customer → Sales Site</t>
        </is>
      </c>
      <c r="C35" s="9" t="inlineStr">
        <is>
          <t>src:조회조건 / ROOT</t>
        </is>
      </c>
      <c r="D35" s="9" t="inlineStr">
        <is>
          <t>판매계획 조회 cascade</t>
        </is>
      </c>
    </row>
    <row r="36" ht="18" customHeight="1">
      <c r="A36" s="9" t="n">
        <v>2</v>
      </c>
      <c r="B36" s="9" t="inlineStr">
        <is>
          <t xml:space="preserve">　　└ → Team (clbTeam · TeambyDivision)</t>
        </is>
      </c>
      <c r="C36" s="9" t="inlineStr">
        <is>
          <t>CMBO / FE필터</t>
        </is>
      </c>
      <c r="D36" s="9" t="inlineStr"/>
    </row>
    <row r="37" ht="18" customHeight="1">
      <c r="A37" s="9" t="n">
        <v>2</v>
      </c>
      <c r="B37" s="9" t="inlineStr">
        <is>
          <t xml:space="preserve">　　└ → End Customer (clbCustomer · EndCustomerByDivisionDept)</t>
        </is>
      </c>
      <c r="C37" s="9" t="inlineStr">
        <is>
          <t>CMBO / SQL:@divisionId,@deptId</t>
        </is>
      </c>
      <c r="D37" s="9" t="inlineStr">
        <is>
          <t>Division+Team 종속</t>
        </is>
      </c>
    </row>
    <row r="38" ht="18" customHeight="1">
      <c r="A38" s="9" t="n">
        <v>3</v>
      </c>
      <c r="B38" s="9" t="inlineStr">
        <is>
          <t xml:space="preserve">　　　└ → Sales Site (clbSalesSite · SiteByEndCustomer_InnerCode)</t>
        </is>
      </c>
      <c r="C38" s="9" t="inlineStr">
        <is>
          <t>CMBO / SQL:@divisionId,@endCustomer</t>
        </is>
      </c>
      <c r="D38" s="9" t="inlineStr">
        <is>
          <t>End Customer 종속</t>
        </is>
      </c>
    </row>
    <row r="39" ht="18" customHeight="1">
      <c r="A39" s="9" t="n">
        <v>2</v>
      </c>
      <c r="B39" s="9" t="inlineStr">
        <is>
          <t xml:space="preserve">　　└ → Biz Type (BizTypeByDivision · 40=DmBizType)</t>
        </is>
      </c>
      <c r="C39" s="9" t="inlineStr">
        <is>
          <t>CMBO / FE필터</t>
        </is>
      </c>
      <c r="D39" s="9" t="inlineStr"/>
    </row>
    <row r="40" ht="18" customHeight="1">
      <c r="A40" s="9" t="n">
        <v>1</v>
      </c>
      <c r="B40" s="9" t="inlineStr">
        <is>
          <t xml:space="preserve">　└ [조회조건] 비종속: Model/Item(모달)·Version·Period·Bucket</t>
        </is>
      </c>
      <c r="C40" s="9" t="inlineStr">
        <is>
          <t>static</t>
        </is>
      </c>
      <c r="D40" s="9" t="inlineStr"/>
    </row>
    <row r="41" ht="18" customHeight="1">
      <c r="A41" s="9" t="n">
        <v>1</v>
      </c>
      <c r="B41" s="9" t="inlineStr">
        <is>
          <t xml:space="preserve">　└ [GRID 셀] 편집행 콤보 (Sales Plan)</t>
        </is>
      </c>
      <c r="C41" s="9" t="inlineStr">
        <is>
          <t>DB:SHEET_COLUMNS</t>
        </is>
      </c>
      <c r="D41" s="9" t="inlineStr">
        <is>
          <t>셀 변경 시 하위 재소싱</t>
        </is>
      </c>
    </row>
    <row r="42" ht="18" customHeight="1">
      <c r="A42" s="9" t="n">
        <v>2</v>
      </c>
      <c r="B42" s="9" t="inlineStr">
        <is>
          <t xml:space="preserve">　　└ DEPT_ID→DeptId · DIVISION_ID→Division · COMPANY_ID→DM_COMPANY</t>
        </is>
      </c>
      <c r="C42" s="9" t="inlineStr">
        <is>
          <t>CMBO</t>
        </is>
      </c>
      <c r="D42" s="9" t="inlineStr"/>
    </row>
    <row r="43" ht="18" customHeight="1">
      <c r="A43" s="9" t="n">
        <v>2</v>
      </c>
      <c r="B43" s="9" t="inlineStr">
        <is>
          <t xml:space="preserve">　　└ END_CUSTOMER→EndCustomerByDivisionDept(+40) · SCM_SITE_ID→SiteByEndCustomer_InnerCode</t>
        </is>
      </c>
      <c r="C43" s="9" t="inlineStr">
        <is>
          <t>CMBO / SQL</t>
        </is>
      </c>
      <c r="D43" s="9" t="inlineStr"/>
    </row>
    <row r="44" ht="30" customHeight="1">
      <c r="A44" s="9" t="n">
        <v>2</v>
      </c>
      <c r="B44" s="9" t="inlineStr">
        <is>
          <t xml:space="preserve">　　└ BIZ_TYPE_NAME→BizTypeByDivision · BIZ_TYPE_NAME40→DmBizType · PLANT_SITE_ID→FromSiteByDivision</t>
        </is>
      </c>
      <c r="C44" s="9" t="inlineStr">
        <is>
          <t>CMBO / SQL:@divisionId</t>
        </is>
      </c>
      <c r="D44" s="9" t="inlineStr"/>
    </row>
    <row r="45" ht="30" customHeight="1">
      <c r="A45" s="9" t="n">
        <v>2</v>
      </c>
      <c r="B45" s="9" t="inlineStr">
        <is>
          <t xml:space="preserve">　　└ FCST_TYPE→FcstType(Insert=ETC) · CELL_PROD_SITE_ID · INCOTERMS·DOM_EXP·INTERNAL_YN→YesOrNo(static)</t>
        </is>
      </c>
      <c r="C45" s="9" t="inlineStr">
        <is>
          <t>CMBO / static</t>
        </is>
      </c>
      <c r="D45" s="9" t="inlineStr"/>
    </row>
    <row r="46" ht="45" customHeight="1">
      <c r="A46" s="9" t="n">
        <v>1</v>
      </c>
      <c r="B46" s="9" t="inlineStr">
        <is>
          <t xml:space="preserve">　└ ⚠ 메커니즘 주의</t>
        </is>
      </c>
      <c r="C46" s="9" t="inlineStr">
        <is>
          <t>확인필요</t>
        </is>
      </c>
      <c r="D46" s="9" t="inlineStr">
        <is>
          <t>EndCustomer(EndCustomerByDivisionDept @divisionId,@deptId)·Site(SiteByEndCustomer @divisionId,@endCustomer)·PlantSite(FromSiteByDivision @divisionId)=SQL @바인드 cascade / Team·BizType·EndCustomer40(ByDivision)=DIVISION_ID 반환열 FE 필터. 혼재 — TO-BE 재소싱 트리거 정합 확인.</t>
        </is>
      </c>
    </row>
    <row r="47">
      <c r="A47" s="2" t="inlineStr">
        <is>
          <t>※ 인터랙티브 확대/축소·필터 맵 = 동반 Doc/화면설계서/DMF0021_데이터연결_마인드맵.html + 통합본 DM_분석_마인드맵.html ⑥페이지.</t>
        </is>
      </c>
    </row>
    <row r="49" ht="20" customHeight="1">
      <c r="A49" s="4" t="inlineStr">
        <is>
          <t>B. 편집제어 매트릭스 — 실효 배선 = GET_ADMIN_GROUP(ADMIN 전편집) + GET_ADMIN_GROUP_MEASURE(메저별)</t>
        </is>
      </c>
    </row>
    <row r="50">
      <c r="A50" s="8" t="inlineStr">
        <is>
          <t>권한그룹</t>
        </is>
      </c>
      <c r="B50" s="8" t="inlineStr">
        <is>
          <t>Division</t>
        </is>
      </c>
      <c r="C50" s="8" t="inlineStr">
        <is>
          <t>메저 / 시간락</t>
        </is>
      </c>
      <c r="D50" s="8" t="inlineStr">
        <is>
          <t>편집 가부</t>
        </is>
      </c>
    </row>
    <row r="51" ht="45" customHeight="1">
      <c r="A51" s="9" t="inlineStr">
        <is>
          <t>ADMIN (GET_ADMIN_GROUP=ALL)</t>
        </is>
      </c>
      <c r="B51" s="9" t="inlineStr">
        <is>
          <t>전 division</t>
        </is>
      </c>
      <c r="C51" s="9" t="inlineStr">
        <is>
          <t>전 메저</t>
        </is>
      </c>
      <c r="D51" s="9" t="inlineStr">
        <is>
          <t>✎ 무조건 편집</t>
        </is>
      </c>
    </row>
    <row r="52" ht="60" customHeight="1">
      <c r="A52" s="9" t="inlineStr">
        <is>
          <t>DM ADMIN / DM Planner / SCM PI Admin</t>
        </is>
      </c>
      <c r="B52" s="9" t="inlineStr">
        <is>
          <t>40·81계열·82 (GADM 등록분)</t>
        </is>
      </c>
      <c r="C52" s="9" t="inlineStr">
        <is>
          <t>SalesAmt_LOC</t>
        </is>
      </c>
      <c r="D52" s="9" t="inlineStr">
        <is>
          <t>✎ 편집 (시간무관)</t>
        </is>
      </c>
    </row>
    <row r="53" ht="45" customHeight="1">
      <c r="A53" s="9" t="inlineStr">
        <is>
          <t>SCP Planner + ADMIN/SCM PI Admin</t>
        </is>
      </c>
      <c r="B53" s="9" t="inlineStr">
        <is>
          <t>40·81계열 (82 제외)</t>
        </is>
      </c>
      <c r="C53" s="9" t="inlineStr">
        <is>
          <t>RTF_SYS_RP</t>
        </is>
      </c>
      <c r="D53" s="9" t="inlineStr">
        <is>
          <t>⏱ 편집 — 단 월/토 16:00 이후 잠금 · 컷오프 후 잠금</t>
        </is>
      </c>
    </row>
    <row r="54" ht="45" customHeight="1">
      <c r="A54" s="9" t="inlineStr">
        <is>
          <t>비ADMIN — EE 계열</t>
        </is>
      </c>
      <c r="B54" s="9" t="inlineStr">
        <is>
          <t>EE / EE_*</t>
        </is>
      </c>
      <c r="C54" s="9" t="inlineStr">
        <is>
          <t>전 메저</t>
        </is>
      </c>
      <c r="D54" s="9" t="inlineStr">
        <is>
          <t>🔒 편집불가 (GADM 미등록)</t>
        </is>
      </c>
    </row>
    <row r="55" ht="45" customHeight="1">
      <c r="A55" s="9" t="inlineStr">
        <is>
          <t>버튼 권한(SEARCH/SAVE)</t>
        </is>
      </c>
      <c r="B55" s="9" t="inlineStr">
        <is>
          <t>-</t>
        </is>
      </c>
      <c r="C55" s="9" t="inlineStr">
        <is>
          <t>-</t>
        </is>
      </c>
      <c r="D55" s="9" t="inlineStr">
        <is>
          <t>🔒 미등록 (레거시 dmf0003, React 전환 대기)</t>
        </is>
      </c>
    </row>
    <row r="57" ht="20" customHeight="1">
      <c r="A57" s="4" t="inlineStr">
        <is>
          <t>C. 격차 · 확인필요 (실측 — 은폐 금지)</t>
        </is>
      </c>
    </row>
    <row r="58">
      <c r="A58" s="8" t="inlineStr">
        <is>
          <t>No</t>
        </is>
      </c>
      <c r="B58" s="8" t="inlineStr">
        <is>
          <t>격차 / 확인필요</t>
        </is>
      </c>
      <c r="C58" s="8" t="inlineStr"/>
      <c r="D58" s="8" t="inlineStr"/>
    </row>
    <row r="59" ht="30" customHeight="1">
      <c r="A59" s="9" t="n">
        <v>1</v>
      </c>
      <c r="B59" s="9" t="inlineStr">
        <is>
          <t>SCM_ADM_API_M(DMF0021)=0행, SCM_ADM_PROC_M(DMF0021)=0행 → TO-BE API/PROC 미배선. 신규 화면 등록 필요.</t>
        </is>
      </c>
      <c r="C59" s="9" t="inlineStr"/>
      <c r="D59" s="9" t="inlineStr"/>
    </row>
    <row r="60" ht="30" customHeight="1">
      <c r="A60" s="9" t="n">
        <v>2</v>
      </c>
      <c r="B60" s="9" t="inlineStr">
        <is>
          <t>SCM_ADM_MNU_BTN_MPG_M(DMF0021)=0행, SCM_ADM_USER_GR_MNU_BTN_MPG_M(DMF0021)=0행 → SEARCH/SAVE 버튼권한 미배선.</t>
        </is>
      </c>
      <c r="C60" s="9" t="inlineStr"/>
      <c r="D60" s="9" t="inlineStr"/>
    </row>
    <row r="61" ht="30" customHeight="1">
      <c r="A61" s="9" t="n">
        <v>3</v>
      </c>
      <c r="B61" s="9" t="inlineStr">
        <is>
          <t>DM_UI_EDITABLE_MEASURE / DM_UI_EDITABLE_DIVISION SEGMENT1='DMF0021'=0행 → 신방식 편집제어 미적용. 구방식 GAM 만 실효(편집규칙 이원화).</t>
        </is>
      </c>
      <c r="C61" s="9" t="inlineStr"/>
      <c r="D61" s="9" t="inlineStr"/>
    </row>
    <row r="62" ht="30" customHeight="1">
      <c r="A62" s="9" t="n">
        <v>4</v>
      </c>
      <c r="B62" s="9" t="inlineStr">
        <is>
          <t>EE 계열 6 division(EE,EE_HD,EE_HG,EE_HM,EE_ST,EE_UC) 은 GET_ADMIN_GROUP_MEASURE(DMF0021) 미등록 → 비ADMIN EE 사용자 편집메저 0.</t>
        </is>
      </c>
      <c r="C62" s="9" t="inlineStr"/>
      <c r="D62" s="9" t="inlineStr"/>
    </row>
    <row r="63" ht="18" customHeight="1">
      <c r="A63" s="9" t="n">
        <v>5</v>
      </c>
      <c r="B63" s="9" t="inlineStr">
        <is>
          <t>RTF_SYS_RP 는 division 82 미등록(SalesAmt_LOC 만 82 편집) → 82 는 RTF 편집불가.</t>
        </is>
      </c>
      <c r="C63" s="9" t="inlineStr"/>
      <c r="D63" s="9" t="inlineStr"/>
    </row>
    <row r="64" ht="30" customHeight="1">
      <c r="A64" s="9" t="n">
        <v>6</v>
      </c>
      <c r="B64" s="9" t="inlineStr">
        <is>
          <t>BP_FCST_TYPE(25)/MKT_FCST_MEASURE(24)/CUTOFF_USE_MEASURE(17)/PLAN_TIME(16) 는 DMF0021 SP 미참조(__NOT_REF) = 거버넌스/타화면용.</t>
        </is>
      </c>
      <c r="C64" s="9" t="inlineStr"/>
      <c r="D64" s="9" t="inlineStr"/>
    </row>
    <row r="65" ht="30" customHeight="1">
      <c r="A65" s="9" t="n">
        <v>7</v>
      </c>
      <c r="B65" s="9" t="inlineStr">
        <is>
          <t>CASCADE 메커니즘 혼재: ByDivision 콤보=FE 필터 / EndCustomer·Site·PlantSite=SQL @바인드. 재소싱 트리거 TO-BE 정합 필요.</t>
        </is>
      </c>
      <c r="C65" s="9" t="inlineStr"/>
      <c r="D65" s="9" t="inlineStr"/>
    </row>
    <row r="66">
      <c r="A66" s="11" t="inlineStr">
        <is>
          <t>⭐ 핵심 격차: ① 편집룩업 이원화(구 GADM만, 신 DM_UI_EDITABLE 0행) ② API_M/PROC_M/BTN_MPG 0행(React 미전환) ③ EE 6 div GADM 미등록 ④ SP 정본 3벌 병존 ⑤ MEASUREINFO2 INNER(PKG)↔LEFT(standalone) JOIN 상이.</t>
        </is>
      </c>
    </row>
  </sheetData>
  <mergeCells count="4">
    <mergeCell ref="A4:D4"/>
    <mergeCell ref="A57:D57"/>
    <mergeCell ref="A3:D3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2026-07-09T13:59:56Z</dcterms:created>
  <dcterms:modified xmlns:dcterms="http://purl.org/dc/terms/" xmlns:xsi="http://www.w3.org/2001/XMLSchema-instance" xsi:type="dcterms:W3CDTF">2026-07-09T21:15:25Z</dcterms:modified>
</cp:coreProperties>
</file>