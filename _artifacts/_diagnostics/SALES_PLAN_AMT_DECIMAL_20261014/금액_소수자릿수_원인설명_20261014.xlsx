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케이스1_SALES_PLAN_C" sheetId="2" state="visible" r:id="rId2"/>
    <sheet xmlns:r="http://schemas.openxmlformats.org/officeDocument/2006/relationships" name="케이스2_ETC_SalesAmt_USD" sheetId="3" state="visible" r:id="rId3"/>
    <sheet xmlns:r="http://schemas.openxmlformats.org/officeDocument/2006/relationships" name="케이스2_MSSQL_6자리_동작" sheetId="4" state="visible" r:id="rId4"/>
    <sheet xmlns:r="http://schemas.openxmlformats.org/officeDocument/2006/relationships" name="조회환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#,##0.000000000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9"/>
    </font>
    <font>
      <name val="Arial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164" fontId="4" fillId="0" borderId="1" applyAlignment="1" pivotButton="0" quotePrefix="0" xfId="0">
      <alignment vertical="top" wrapText="1"/>
    </xf>
    <xf numFmtId="0" fontId="6" fillId="0" borderId="0" pivotButton="0" quotePrefix="0" xfId="0"/>
    <xf numFmtId="165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46" customWidth="1" min="4" max="4"/>
    <col width="36" customWidth="1" min="5" max="5"/>
  </cols>
  <sheetData>
    <row r="1">
      <c r="A1" s="1" t="inlineStr">
        <is>
          <t>금액 소수 자릿수 차이 원인 설명 (2건)</t>
        </is>
      </c>
    </row>
    <row r="2">
      <c r="A2" s="2" t="inlineStr">
        <is>
          <t>조회 2026-10-14 · TO-BE 사내 ZIOUI1 / 클라우드 QA OCGSCMQ_P01(A01 결과) · AS-IS MSSQL LGCE_SCMDEV(SQL Server 2022, 호환성 120)</t>
        </is>
      </c>
    </row>
    <row r="4">
      <c r="A4" s="3" t="inlineStr">
        <is>
          <t>구분</t>
        </is>
      </c>
      <c r="B4" s="3" t="inlineStr">
        <is>
          <t>현상</t>
        </is>
      </c>
      <c r="C4" s="3" t="inlineStr">
        <is>
          <t>원인</t>
        </is>
      </c>
      <c r="D4" s="3" t="inlineStr">
        <is>
          <t>근거(실측)</t>
        </is>
      </c>
      <c r="E4" s="3" t="inlineStr">
        <is>
          <t>조치 방향(미적용)</t>
        </is>
      </c>
    </row>
    <row r="5" ht="190" customHeight="1">
      <c r="A5" s="4" t="inlineStr">
        <is>
          <t>케이스 1</t>
        </is>
      </c>
      <c r="B5" s="4" t="inlineStr">
        <is>
          <t>DM_PLN_SALES_PLAN_C 와 DM_PLN_SALES_PLAN 의 MKT_AMT_KRW 소수 자릿수가 다르게 보임
(한쪽은 3자리 이하, 다른 쪽에 3자리를 넘는 값)</t>
        </is>
      </c>
      <c r="C5" s="4" t="inlineStr">
        <is>
          <t>금액을 3자리로 자르는 ROUND 단계는 어디에도 없음.
① 단가가 소수 3자리로 저장됨(DMF0020 ROUND(PRICE,3), AS-IS·TO-BE 동일) → 정수 수량 × 단가 = 3자리 이하
② 3자리를 넘는 값 = AS-IS 식 CAST(STR(수량×단가,20,5) AS NUMERIC) 로 계산돼 남아 있는 값. STR() 이 float 를 거쳐 큰 금액에서 5번째 자리 오차(.67999) 발생
③ SP_D 컷오프는 원장(금주 월요일 이후)을 ROUND 없이 그대로 복사 → 어느 쪽에 남아 있느냐는 '언제 계산된 값이냐'의 차이</t>
        </is>
      </c>
      <c r="D5" s="4" t="inlineStr">
        <is>
          <t>클라우드 QA A01: _C(40·82 SP_D 10-14) 3자리 초과 0건, _C↔원장 키 단위 동일 · 원장 3자리 초과 9건은 전부 _C 기간 이전 행
AS-IS: STR(47016662×2254.14,20,5)=105982138480.67999 / 정확값 .68
사내 과거 SP_D 3자리 초과 17건 = 전부 AS-IS 식 오차</t>
        </is>
      </c>
      <c r="E5" s="4" t="inlineStr">
        <is>
          <t>로직 수정 불필요 (TO-BE 식이 정확값)
과거 값 정리는 업무 판단</t>
        </is>
      </c>
    </row>
    <row r="6" ht="170" customHeight="1">
      <c r="A6" s="4" t="inlineStr">
        <is>
          <t>케이스 2</t>
        </is>
      </c>
      <c r="B6" s="4" t="inlineStr">
        <is>
          <t>DM_PLN_SALES_ETC_PLAN(_C) SalesAmt_USD (기타매출, 통화 KRW 행)
TO-BE 소수 10자리 / AS-IS 6자리</t>
        </is>
      </c>
      <c r="C6" s="4" t="inlineStr">
        <is>
          <t>식은 AS-IS·TO-BE 동일(LOC ÷ USD환율, ROUND 없음). 차이는 DB 엔진의 숫자 타입 규칙.
AS-IS: CASE 식의 결과 타입을 정할 때 MSSQL 이 세 분기 타입을 합쳐 numeric(38,6) 으로 결정 → KRW 분기의 14자리 값이 6자리로 암묵 변환·반올림됨 (상세: '케이스2_MSSQL_6자리_동작')
TO-BE: Oracle 은 이런 축소가 없어 컬럼 NUMBER(30,10) 한도 10자리로 저장</t>
        </is>
      </c>
      <c r="D6" s="4" t="inlineStr">
        <is>
          <t>같은 키: AS-IS -357142.857143 / TO-BE -357142.8571428571
MSSQL 실측: CASE 결과 scale 6 · 세 번째 분기 제거 시 scale 14</t>
        </is>
      </c>
      <c r="E6" s="4" t="inlineStr">
        <is>
          <t>AS-IS 와 같게 하려면 TO-BE 식을 ROUND(…, 6) 로 감싸기
(PR_DM_ANL_SALES_PLAN_AMT_CREATE_LOCAL_KRW L624~645)
※ 수정은 요청 시 진행</t>
        </is>
      </c>
    </row>
    <row r="8">
      <c r="A8" s="5" t="inlineStr">
        <is>
          <t>※ 자릿수 판정: 값 &lt;&gt; ROUND(값, n) 이면 n자리 초과. AS-IS 6자리 값은 끝자리가 0이면 5자리 이하로 보일 수 있음.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4" customWidth="1" min="3" max="3"/>
    <col width="64" customWidth="1" min="4" max="4"/>
  </cols>
  <sheetData>
    <row r="1">
      <c r="A1" s="1" t="inlineStr">
        <is>
          <t>케이스 1 — DM_PLN_SALES_PLAN(_C) MKT_AMT_KRW 소수 자릿수 차이</t>
        </is>
      </c>
    </row>
    <row r="3">
      <c r="A3" s="3" t="inlineStr">
        <is>
          <t>#</t>
        </is>
      </c>
      <c r="B3" s="3" t="inlineStr">
        <is>
          <t>단계</t>
        </is>
      </c>
      <c r="C3" s="3" t="inlineStr">
        <is>
          <t>객체 · 위치</t>
        </is>
      </c>
      <c r="D3" s="3" t="inlineStr">
        <is>
          <t>처리 내용 (ROUND 여부)</t>
        </is>
      </c>
    </row>
    <row r="4" ht="80" customHeight="1">
      <c r="A4" s="4" t="n">
        <v>1</v>
      </c>
      <c r="B4" s="4" t="inlineStr">
        <is>
          <t>단가 저장 (판가 입력)</t>
        </is>
      </c>
      <c r="C4" s="4" t="inlineStr">
        <is>
          <t>PKG_DMF0020 L4551/L4656 · L6362/L6385 · L7743/L7785
(AS-IS DMF0020_SAVE_..._CONVERSION / _POPUP / DMF0020_EXCEL_UPLOAD)</t>
        </is>
      </c>
      <c r="D4" s="4" t="inlineStr">
        <is>
          <t>PRICE = ROUND(PRICE, 3) · KRW = ROUND(LOC × 환율, 3) · USD = ROUND(KRW ÷ 환율, 3)
→ 단가 소수 3자리 (AS-IS·TO-BE 동일)</t>
        </is>
      </c>
    </row>
    <row r="5" ht="80" customHeight="1">
      <c r="A5" s="4" t="n">
        <v>2</v>
      </c>
      <c r="B5" s="4" t="inlineStr">
        <is>
          <t>원장 금액 계산 (TO-BE)</t>
        </is>
      </c>
      <c r="C5" s="4" t="inlineStr">
        <is>
          <t>PR_DM_ANL_SALES_PLAN_AMT_CREATE_LOCAL_KRW L291~335</t>
        </is>
      </c>
      <c r="D5" s="4" t="inlineStr">
        <is>
          <t>MKT_AMT_KRW = ROUND(MKT_FCST 수량 × 해당 주 시작일 KRW 단가, 5)
40 = DM_PLN_CFM_SELLING_PRICE / 그 외 = SCM_MST_FUTURE_PRICE
정수 × 3자리 = 3자리 이하 → ROUND(…,5) 는 값을 바꾸지 않음</t>
        </is>
      </c>
    </row>
    <row r="6" ht="80" customHeight="1">
      <c r="A6" s="4" t="n">
        <v>3</v>
      </c>
      <c r="B6" s="4" t="inlineStr">
        <is>
          <t>원장 금액 계산 (AS-IS)</t>
        </is>
      </c>
      <c r="C6" s="4" t="inlineStr">
        <is>
          <t>AS-IS 같은 SP · DMF0003_MKT_FCST_SALES_PLAN_SYNC 등 21개 객체</t>
        </is>
      </c>
      <c r="D6" s="4" t="inlineStr">
        <is>
          <t>CAST(STR(수량 × 단가, 20, 5) AS NUMERIC(30,10))
STR() 은 인자를 float 로 바꿔 문자열로 만든 뒤 다시 숫자로 변환 → 금액이 크면(약 100억 이상) 5번째 자리에 float 오차</t>
        </is>
      </c>
    </row>
    <row r="7" ht="80" customHeight="1">
      <c r="A7" s="4" t="n">
        <v>4</v>
      </c>
      <c r="B7" s="4" t="inlineStr">
        <is>
          <t>SP_D 컷오프 (_C 생성)</t>
        </is>
      </c>
      <c r="C7" s="4" t="inlineStr">
        <is>
          <t>PR_DM_PLN_SALES_PLAN_CUTOFF L110~190</t>
        </is>
      </c>
      <c r="D7" s="4" t="inlineStr">
        <is>
          <t>DM_PLN_SALES_PLAN(금주 월요일 이후) → DM_PLN_SALES_PLAN_C 로 QTY 그대로 복사 (ROUND 없음)
→ _C 는 컷오프 시점 원장의 스냅샷</t>
        </is>
      </c>
    </row>
    <row r="8" ht="80" customHeight="1">
      <c r="A8" s="4" t="n">
        <v>5</v>
      </c>
      <c r="B8" s="4" t="inlineStr">
        <is>
          <t>차이가 생기는 이유</t>
        </is>
      </c>
      <c r="C8" s="4" t="inlineStr">
        <is>
          <t>-</t>
        </is>
      </c>
      <c r="D8" s="4" t="inlineStr">
        <is>
          <t>원장은 매번 다시 계산되며(TO-BE 식) 3자리 이하로 바뀌고, 다시 계산되지 않은 행·과거 기간 행에는 AS-IS 식 값(5자리)이 남는다.
_C 는 복사 시점 값을 그대로 보관하므로, 두 테이블의 자릿수 차이 = 같은 키가 어느 식으로 계산된 시점의 값이냐의 차이</t>
        </is>
      </c>
    </row>
    <row r="10">
      <c r="A10" s="3" t="inlineStr"/>
      <c r="B10" s="3" t="inlineStr">
        <is>
          <t>실측 근거</t>
        </is>
      </c>
      <c r="C10" s="3" t="inlineStr">
        <is>
          <t>값</t>
        </is>
      </c>
      <c r="D10" s="3" t="inlineStr">
        <is>
          <t>비고</t>
        </is>
      </c>
    </row>
    <row r="11">
      <c r="A11" s="4" t="inlineStr"/>
      <c r="B11" s="4" t="inlineStr">
        <is>
          <t>AS-IS STR 재현 (MSSQL)</t>
        </is>
      </c>
      <c r="C11" s="4" t="inlineStr">
        <is>
          <t>105982138480.67999</t>
        </is>
      </c>
      <c r="D11" s="4" t="inlineStr">
        <is>
          <t>STR(47016662 × 2254.14, 20, 5)</t>
        </is>
      </c>
    </row>
    <row r="12">
      <c r="A12" s="4" t="inlineStr"/>
      <c r="B12" s="4" t="inlineStr">
        <is>
          <t>정확값 (Excel 수식)</t>
        </is>
      </c>
      <c r="C12" s="6">
        <f>47016662*2254.14</f>
        <v/>
      </c>
      <c r="D12" s="4" t="inlineStr">
        <is>
          <t>TO-BE ROUND(x,5) 결과와 같음 (105982138480.68)</t>
        </is>
      </c>
    </row>
    <row r="13">
      <c r="A13" s="4" t="inlineStr"/>
      <c r="B13" s="4" t="inlineStr">
        <is>
          <t>Oracle 재현식</t>
        </is>
      </c>
      <c r="C13" s="4" t="inlineStr">
        <is>
          <t>TO_CHAR(TO_BINARY_DOUBLE(x),'FM99999999999999999990.99999')</t>
        </is>
      </c>
      <c r="D13" s="4" t="inlineStr">
        <is>
          <t>STR(x,20,5) 결과와 일치 (사내 실측)</t>
        </is>
      </c>
    </row>
    <row r="14">
      <c r="A14" s="4" t="inlineStr"/>
      <c r="B14" s="4" t="inlineStr">
        <is>
          <t>클라우드 QA A01 [V1]</t>
        </is>
      </c>
      <c r="C14" s="4" t="inlineStr">
        <is>
          <t>_C(40·82 SP_D 2026-10-14) 3자리 초과 0건 · 합계 10,453,070,109,321.644</t>
        </is>
      </c>
      <c r="D14" s="4" t="inlineStr">
        <is>
          <t>원장 3자리 초과 9건 — 전부 _C 기간(20261012~) 이전</t>
        </is>
      </c>
    </row>
    <row r="15">
      <c r="A15" s="4" t="inlineStr"/>
      <c r="B15" s="4" t="inlineStr">
        <is>
          <t>클라우드 QA A01 [V3]</t>
        </is>
      </c>
      <c r="C15" s="4" t="inlineStr">
        <is>
          <t>_C ↔ 원장 키 단위 동일 2,754건(40) · 2,762건(82)</t>
        </is>
      </c>
      <c r="D15" s="4" t="inlineStr">
        <is>
          <t>컷오프 후 원장 신규 6건(40)</t>
        </is>
      </c>
    </row>
    <row r="16">
      <c r="A16" s="4" t="inlineStr"/>
      <c r="B16" s="4" t="inlineStr">
        <is>
          <t>사내 과거 SP_D 3버전</t>
        </is>
      </c>
      <c r="C16" s="4" t="inlineStr">
        <is>
          <t>3자리 초과 17건 = AS-IS 식 오차 12건 + AS-IS 식 오차·이후 단가 변경 5건</t>
        </is>
      </c>
      <c r="D16" s="4" t="inlineStr">
        <is>
          <t>A01 [V4]/[V5] 판정 F / F2</t>
        </is>
      </c>
    </row>
    <row r="18">
      <c r="A18" s="7" t="inlineStr">
        <is>
          <t>참고(별건·원인 미확인): 클라우드 QA 40 LOC 단가 4~10자리 181건 — 수정자 BATCH_CFM_TO_ALL (PR_DM_PLN_CFM_TO_MKT_FCST_ALL L36, 10-13 19:09). 40 MKT_AMT_KRW 는 CFM_SELLING_PRICE 를 쓰므로 영향 없음.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8" customWidth="1" min="3" max="3"/>
    <col width="60" customWidth="1" min="4" max="4"/>
  </cols>
  <sheetData>
    <row r="1">
      <c r="A1" s="1" t="inlineStr">
        <is>
          <t>케이스 2 — DM_PLN_SALES_ETC_PLAN(_C) SalesAmt_USD 소수 10자리(TO-BE) vs 6자리(AS-IS)</t>
        </is>
      </c>
    </row>
    <row r="3">
      <c r="A3" s="3" t="inlineStr">
        <is>
          <t>#</t>
        </is>
      </c>
      <c r="B3" s="3" t="inlineStr">
        <is>
          <t>단계</t>
        </is>
      </c>
      <c r="C3" s="3" t="inlineStr">
        <is>
          <t>객체 · 위치</t>
        </is>
      </c>
      <c r="D3" s="3" t="inlineStr">
        <is>
          <t>처리 내용</t>
        </is>
      </c>
    </row>
    <row r="4" ht="85" customHeight="1">
      <c r="A4" s="4" t="n">
        <v>1</v>
      </c>
      <c r="B4" s="4" t="inlineStr">
        <is>
          <t>기타매출 USD 금액 계산</t>
        </is>
      </c>
      <c r="C4" s="4" t="inlineStr">
        <is>
          <t>PR_DM_ANL_SALES_PLAN_AMT_CREATE_LOCAL_KRW
TO-BE L618~655 / AS-IS 'SalesAmt_USD 계산하기' INSERT</t>
        </is>
      </c>
      <c r="D4" s="4" t="inlineStr">
        <is>
          <t>CASE WHEN 통화='KRW' THEN CAST(LOC AS NUMERIC(30,10)) / CAST(USD환율 AS NUMERIC(14,4))
     ELSE CASE WHEN 통화='USD' THEN LOC
     ELSE CASE WHEN 통화 NOT IN ('KRW','USD') THEN LOC × 통화환율 / USD환율 END END END
(AS-IS·TO-BE 식 동일, ROUND 없음)</t>
        </is>
      </c>
    </row>
    <row r="5" ht="85" customHeight="1">
      <c r="A5" s="4" t="n">
        <v>2</v>
      </c>
      <c r="B5" s="4" t="inlineStr">
        <is>
          <t>AS-IS 결과 (MSSQL)</t>
        </is>
      </c>
      <c r="C5" s="4" t="inlineStr">
        <is>
          <t>CASE 식 결과 타입 결정</t>
        </is>
      </c>
      <c r="D5" s="4" t="inlineStr">
        <is>
          <t>세 분기 타입을 합쳐 numeric(38,6) 으로 결정 → KRW 분기 값이 6자리로 반올림 → 컬럼 NUMERIC(30,10) 에 6자리 값 저장
(단계별 실측: '케이스2_MSSQL_6자리_동작')</t>
        </is>
      </c>
    </row>
    <row r="6" ht="85" customHeight="1">
      <c r="A6" s="4" t="n">
        <v>3</v>
      </c>
      <c r="B6" s="4" t="inlineStr">
        <is>
          <t>TO-BE 결과 (Oracle)</t>
        </is>
      </c>
      <c r="C6" s="4" t="inlineStr">
        <is>
          <t>Oracle NUMBER 연산</t>
        </is>
      </c>
      <c r="D6" s="4" t="inlineStr">
        <is>
          <t>연산 결과 타입 축소 없음 → 컬럼 NUMBER(30,10) 한도 10자리로 반올림 저장</t>
        </is>
      </c>
    </row>
    <row r="7" ht="85" customHeight="1">
      <c r="A7" s="4" t="n">
        <v>4</v>
      </c>
      <c r="B7" s="4" t="inlineStr">
        <is>
          <t>_C 반영</t>
        </is>
      </c>
      <c r="C7" s="4" t="inlineStr">
        <is>
          <t>PR_DM_PLN_SALES_PLAN_CUTOFF L194 (SP_D) · PR_DM_PLN_SALES_PLAN_C_QTY_BALANCE_CREATE L1360 (SP_W)</t>
        </is>
      </c>
      <c r="D7" s="4" t="inlineStr">
        <is>
          <t>원장 값을 그대로 복사 (ROUND 없음) → _C 도 AS-IS 6자리 / TO-BE 10자리</t>
        </is>
      </c>
    </row>
    <row r="9">
      <c r="A9" s="3" t="inlineStr"/>
      <c r="B9" s="3" t="inlineStr">
        <is>
          <t>실측 근거</t>
        </is>
      </c>
      <c r="C9" s="3" t="inlineStr">
        <is>
          <t>값</t>
        </is>
      </c>
      <c r="D9" s="3" t="inlineStr">
        <is>
          <t>비고</t>
        </is>
      </c>
    </row>
    <row r="10">
      <c r="A10" s="4" t="inlineStr"/>
      <c r="B10" s="4" t="inlineStr">
        <is>
          <t>같은 키 저장값 (81)</t>
        </is>
      </c>
      <c r="C10" s="4" t="inlineStr">
        <is>
          <t>AS-IS -357142.857143 / TO-BE -357142.8571428571</t>
        </is>
      </c>
      <c r="D10" s="4" t="inlineStr">
        <is>
          <t>ETC · 통화 KRW · 2026-11/12월 · LOC -500,000,000 · USD 환율 1,400</t>
        </is>
      </c>
    </row>
    <row r="11">
      <c r="A11" s="4" t="inlineStr"/>
      <c r="B11" s="4" t="inlineStr">
        <is>
          <t>같은 키 저장값 (82)</t>
        </is>
      </c>
      <c r="C11" s="4" t="inlineStr">
        <is>
          <t>AS-IS 1717309.158571</t>
        </is>
      </c>
      <c r="D11" s="4" t="inlineStr">
        <is>
          <t>LOC 2,404,232,822 ÷ 1,400 — TO-BE 같은 식 1717309.1585714286</t>
        </is>
      </c>
    </row>
    <row r="12">
      <c r="A12" s="4" t="inlineStr"/>
      <c r="B12" s="4" t="inlineStr">
        <is>
          <t>정확값 (Excel 수식)</t>
        </is>
      </c>
      <c r="C12" s="8">
        <f>-500000000/1400</f>
        <v/>
      </c>
      <c r="D12" s="4" t="inlineStr"/>
    </row>
    <row r="13">
      <c r="A13" s="4" t="inlineStr"/>
      <c r="B13" s="4" t="inlineStr">
        <is>
          <t>AS-IS 저장값 재현</t>
        </is>
      </c>
      <c r="C13" s="8">
        <f>ROUND(-500000000/1400,6)</f>
        <v/>
      </c>
      <c r="D13" s="4" t="inlineStr">
        <is>
          <t>AS-IS 저장값과 일치</t>
        </is>
      </c>
    </row>
    <row r="14">
      <c r="A14" s="4" t="inlineStr"/>
      <c r="B14" s="4" t="inlineStr">
        <is>
          <t>TO-BE 저장값 재현</t>
        </is>
      </c>
      <c r="C14" s="8">
        <f>ROUND(-500000000/1400,10)</f>
        <v/>
      </c>
      <c r="D14" s="4" t="inlineStr">
        <is>
          <t>TO-BE 저장값과 일치</t>
        </is>
      </c>
    </row>
    <row r="15">
      <c r="A15" s="4" t="inlineStr"/>
      <c r="B15" s="4" t="inlineStr">
        <is>
          <t>영향 범위 (AS-IS _C 10월)</t>
        </is>
      </c>
      <c r="C15" s="4" t="inlineStr">
        <is>
          <t>6자리 값 = SalesAmt_USD 의 통화 KRW 행 (81·82)</t>
        </is>
      </c>
      <c r="D15" s="4" t="inlineStr">
        <is>
          <t>통화 USD 행은 LOC 그대로 · KRW 금액 CASE 는 scale 7 (실데이터 정수라 차이 없음)</t>
        </is>
      </c>
    </row>
    <row r="16">
      <c r="A16" s="4" t="inlineStr"/>
      <c r="B16" s="4" t="inlineStr">
        <is>
          <t>영향 범위 (TO-BE 사내)</t>
        </is>
      </c>
      <c r="C16" s="4" t="inlineStr">
        <is>
          <t>SalesAmt_USD 통화 KRW: _C 6행 중 6행 · 원장 8행 중 4행이 6자리 초과</t>
        </is>
      </c>
      <c r="D16" s="4" t="inlineStr">
        <is>
          <t>그 외 메저·통화 6자리 초과 0건</t>
        </is>
      </c>
    </row>
    <row r="18">
      <c r="A18" s="9" t="inlineStr"/>
      <c r="B18" s="9" t="inlineStr">
        <is>
          <t>조치안 (미적용)</t>
        </is>
      </c>
      <c r="C18" s="9" t="inlineStr">
        <is>
          <t>TO-BE L624~645 CASE 식 전체를 ROUND(…, 6) 로 감싸 AS-IS 자릿수와 동일화</t>
        </is>
      </c>
      <c r="D18" s="9" t="inlineStr">
        <is>
          <t>AS-IS 6자리는 의도된 반올림이 아니라 MSSQL 타입 규칙의 결과. 업무 기준 확정 후 적용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28" customWidth="1" min="4" max="4"/>
    <col width="58" customWidth="1" min="5" max="5"/>
  </cols>
  <sheetData>
    <row r="1">
      <c r="A1" s="1" t="inlineStr">
        <is>
          <t>MSSQL 이 6자리로 맞추는 동작 — 단계별 결과 타입 실측</t>
        </is>
      </c>
    </row>
    <row r="2">
      <c r="A2" s="2" t="inlineStr">
        <is>
          <t>AS-IS LGCE_SCMDEV 실측 (SQL_VARIANT_PROPERTY Precision/Scale) · 입력: LOC=NUMERIC(30,10) -500000000 / USD환율=NUMERIC(14,4) 1400 / 통화환율=NUMERIC(14,4) 193.4567</t>
        </is>
      </c>
    </row>
    <row r="4">
      <c r="A4" s="3" t="inlineStr">
        <is>
          <t>단계</t>
        </is>
      </c>
      <c r="B4" s="3" t="inlineStr">
        <is>
          <t>Precision</t>
        </is>
      </c>
      <c r="C4" s="3" t="inlineStr">
        <is>
          <t>Scale</t>
        </is>
      </c>
      <c r="D4" s="3" t="inlineStr">
        <is>
          <t>결과값</t>
        </is>
      </c>
      <c r="E4" s="3" t="inlineStr">
        <is>
          <t>MSSQL 규칙 (decimal 연산 결과 타입)</t>
        </is>
      </c>
    </row>
    <row r="5" ht="78" customHeight="1">
      <c r="A5" s="4" t="inlineStr">
        <is>
          <t>S1 분기1(KRW): LOC / USD환율</t>
        </is>
      </c>
      <c r="B5" s="4" t="n">
        <v>38</v>
      </c>
      <c r="C5" s="4" t="n">
        <v>14</v>
      </c>
      <c r="D5" s="4" t="inlineStr">
        <is>
          <t>-357142.85714285714285</t>
        </is>
      </c>
      <c r="E5" s="4" t="inlineStr">
        <is>
          <t>나눗셈: p = p1-s1+s2+max(6, s1+p2+1) = 49, s = max(6, s1+p2+1) = 25
정밀도 38 초과 → 정수부(24자리) 유지, scale 을 38-24 = 14 로 축소</t>
        </is>
      </c>
    </row>
    <row r="6" ht="78" customHeight="1">
      <c r="A6" s="4" t="inlineStr">
        <is>
          <t>S2 분기2(USD): LOC 그대로</t>
        </is>
      </c>
      <c r="B6" s="4" t="n">
        <v>30</v>
      </c>
      <c r="C6" s="4" t="n">
        <v>10</v>
      </c>
      <c r="D6" s="4" t="inlineStr">
        <is>
          <t>-500000000.0000000000</t>
        </is>
      </c>
      <c r="E6" s="4" t="inlineStr">
        <is>
          <t>원래 타입 NUMERIC(30,10)</t>
        </is>
      </c>
    </row>
    <row r="7" ht="78" customHeight="1">
      <c r="A7" s="4" t="inlineStr">
        <is>
          <t>S3a 분기3: LOC × 통화환율</t>
        </is>
      </c>
      <c r="B7" s="4" t="n">
        <v>38</v>
      </c>
      <c r="C7" s="4" t="n">
        <v>7</v>
      </c>
      <c r="D7" s="4" t="inlineStr">
        <is>
          <t>-96728350000.0000000</t>
        </is>
      </c>
      <c r="E7" s="4" t="inlineStr">
        <is>
          <t>곱셈: p = p1+p2+1 = 45, s = s1+s2 = 14
38 초과 → 정수부 31자리 유지, scale = max(38-31, 6) = 7</t>
        </is>
      </c>
    </row>
    <row r="8" ht="78" customHeight="1">
      <c r="A8" s="4" t="inlineStr">
        <is>
          <t>S3b 분기3: (LOC × 통화환율) / USD환율</t>
        </is>
      </c>
      <c r="B8" s="4" t="n">
        <v>38</v>
      </c>
      <c r="C8" s="4" t="n">
        <v>6</v>
      </c>
      <c r="D8" s="4" t="inlineStr">
        <is>
          <t>-69091678.571428</t>
        </is>
      </c>
      <c r="E8" s="4" t="inlineStr">
        <is>
          <t>나눗셈: p = 38-7+4+max(6, 7+14+1) = 57, s = 22
38 초과 → 정수부 35자리, 38-35 = 3 이지만 최소 scale 6 보장 → scale 6</t>
        </is>
      </c>
    </row>
    <row r="9" ht="78" customHeight="1">
      <c r="A9" s="10" t="inlineStr">
        <is>
          <t>S4 CASE 전체 (실제 SP 식, KRW 행)</t>
        </is>
      </c>
      <c r="B9" s="10" t="n">
        <v>38</v>
      </c>
      <c r="C9" s="10" t="n">
        <v>6</v>
      </c>
      <c r="D9" s="10" t="inlineStr">
        <is>
          <t>-357142.857143</t>
        </is>
      </c>
      <c r="E9" s="10" t="inlineStr">
        <is>
          <t>CASE 결과 타입 = 모든 분기를 담을 수 있는 하나의 타입
정수부 = 분기 중 최대 32자리(S3b), scale = 분기 중 최대 14(S1) → 46 &gt; 38
→ 정수부를 지키기 위해 scale 을 38-32 = 6 으로 축소
⇒ KRW 분기의 14자리 값이 6자리로 암묵 변환되며 반올림 ★ 6자리가 되는 지점</t>
        </is>
      </c>
    </row>
    <row r="10" ht="78" customHeight="1">
      <c r="A10" s="4" t="inlineStr">
        <is>
          <t>S5 비교: 분기3 제거한 CASE</t>
        </is>
      </c>
      <c r="B10" s="4" t="n">
        <v>38</v>
      </c>
      <c r="C10" s="4" t="n">
        <v>14</v>
      </c>
      <c r="D10" s="4" t="inlineStr">
        <is>
          <t>-357142.85714285714285</t>
        </is>
      </c>
      <c r="E10" s="4" t="inlineStr">
        <is>
          <t>분기3(곱한 뒤 나누기)이 없으면 정수부 최대 24자리 → scale 14 유지
⇒ 6자리 원인은 '세 번째 분기가 CASE 에 같이 있다는 것' 자체</t>
        </is>
      </c>
    </row>
    <row r="11" ht="78" customHeight="1">
      <c r="A11" s="4" t="inlineStr">
        <is>
          <t>S6 컬럼 저장 NUMERIC(30,10)</t>
        </is>
      </c>
      <c r="B11" s="4" t="n">
        <v>30</v>
      </c>
      <c r="C11" s="4" t="n">
        <v>10</v>
      </c>
      <c r="D11" s="4" t="inlineStr">
        <is>
          <t>-357142.8571430000</t>
        </is>
      </c>
      <c r="E11" s="4" t="inlineStr">
        <is>
          <t>이미 6자리로 반올림된 값이 저장 (뒤 4자리 0) → 조회 시 -357142.857143</t>
        </is>
      </c>
    </row>
    <row r="13">
      <c r="A13" s="5" t="inlineStr">
        <is>
          <t>요약: 별도의 ROUND·CAST 가 아니라, MSSQL 이 CASE 식의 결과 데이터 타입을 하나로 정하는 과정(데이터 타입 우선순위·decimal 정밀도 38 한도)에서 생기는 암묵적 변환이다.</t>
        </is>
      </c>
    </row>
    <row r="14">
      <c r="A14" s="5" t="inlineStr">
        <is>
          <t>Oracle 은 NUMBER 연산에 이런 결과 타입 축소가 없으므로 같은 식이 컬럼 한도(소수 10자리)까지 저장된다.</t>
        </is>
      </c>
    </row>
    <row r="15">
      <c r="A15" s="5" t="inlineStr">
        <is>
          <t>확인 환경: Microsoft SQL Server 2022 (16.0.4125.3) Developer · DB 호환성 수준 120 · 운영 DB 버전은 미확인 (decimal 결과 타입 규칙은 SQL Server 2005 이후 동일).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1" t="inlineStr">
        <is>
          <t>조회 환경 · 근거 객체</t>
        </is>
      </c>
    </row>
    <row r="3">
      <c r="A3" s="3" t="inlineStr">
        <is>
          <t>항목</t>
        </is>
      </c>
      <c r="B3" s="3" t="inlineStr">
        <is>
          <t>내용</t>
        </is>
      </c>
    </row>
    <row r="4">
      <c r="A4" s="4" t="inlineStr">
        <is>
          <t>TO-BE 사내</t>
        </is>
      </c>
      <c r="B4" s="4" t="inlineStr">
        <is>
          <t>ZIOUI1 59.19.252.148:2521 · SERVER_HOST=localhost · 2026-10-14 16:52~17:30</t>
        </is>
      </c>
    </row>
    <row r="5">
      <c r="A5" s="4" t="inlineStr">
        <is>
          <t>TO-BE 클라우드 QA</t>
        </is>
      </c>
      <c r="B5" s="4" t="inlineStr">
        <is>
          <t>OCGSCMQ_P01 · SERVER_HOST=lchddwexapob1 · A01 실행 2026-10-14 17:16 (사용자 회신)</t>
        </is>
      </c>
    </row>
    <row r="6">
      <c r="A6" s="4" t="inlineStr">
        <is>
          <t>AS-IS</t>
        </is>
      </c>
      <c r="B6" s="4" t="inlineStr">
        <is>
          <t>MSSQL LESDFPSTO1C01 / LGCE_SCMDEV (DEV) · 2026-10-14 16:35~17:35</t>
        </is>
      </c>
    </row>
    <row r="7">
      <c r="A7" s="4" t="inlineStr">
        <is>
          <t>PR_DM_PLN_SALES_PLAN_CUTOFF</t>
        </is>
      </c>
      <c r="B7" s="4" t="inlineStr">
        <is>
          <t>LAST_DDL 2026-10-09 21:20:30</t>
        </is>
      </c>
    </row>
    <row r="8">
      <c r="A8" s="4" t="inlineStr">
        <is>
          <t>PR_DM_ANL_SALES_PLAN_AMT_CREATE_LOCAL_KRW</t>
        </is>
      </c>
      <c r="B8" s="4" t="inlineStr">
        <is>
          <t>LAST_DDL 2026-10-09 13:38:35</t>
        </is>
      </c>
    </row>
    <row r="9">
      <c r="A9" s="4" t="inlineStr">
        <is>
          <t>PR_DM_PLN_SALES_PLAN_C_QTY_BALANCE_CREATE</t>
        </is>
      </c>
      <c r="B9" s="4" t="inlineStr">
        <is>
          <t>LAST_DDL 2026-10-12 19:18:37</t>
        </is>
      </c>
    </row>
    <row r="10">
      <c r="A10" s="4" t="inlineStr">
        <is>
          <t>PKG_DMF0020</t>
        </is>
      </c>
      <c r="B10" s="4" t="inlineStr">
        <is>
          <t>LAST_DDL 2026-10-13 18:20:09</t>
        </is>
      </c>
    </row>
    <row r="11">
      <c r="A11" s="4" t="inlineStr">
        <is>
          <t>진단 SQL</t>
        </is>
      </c>
      <c r="B11" s="4" t="inlineStr">
        <is>
          <t>_artifacts/_diagnostics/SALES_PLAN_AMT_DECIMAL_20261014/A01_MKT_AMT_KRW_DECIMAL_TRACE.sql (READ-ONLY · 전체 F5)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2026-10-14T08:28:10Z</dcterms:created>
  <dcterms:modified xmlns:dcterms="http://purl.org/dc/terms/" xmlns:xsi="http://www.w3.org/2001/XMLSchema-instance" xsi:type="dcterms:W3CDTF">2026-10-14T08:28:10Z</dcterms:modified>
</cp:coreProperties>
</file>